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角色卡" sheetId="1" state="visible" r:id="rId1"/>
    <sheet name="自定义主题" sheetId="2" state="visible" r:id="rId2"/>
    <sheet name="数据" sheetId="3" state="hidden" r:id="rId3"/>
  </sheets>
  <definedNames>
    <definedName name="等级">#REF!</definedName>
    <definedName name="附加主题">#REF!</definedName>
    <definedName name="理法主题">#REF!</definedName>
    <definedName name="迷雾主题">#REF!</definedName>
    <definedName name="神法主题">#REF!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rgb="FF000000"/>
      <sz val="8"/>
    </font>
    <font>
      <name val="微软雅黑"/>
      <charset val="134"/>
      <family val="2"/>
      <color rgb="FF231F20"/>
      <sz val="8"/>
    </font>
    <font>
      <name val="微软雅黑"/>
      <charset val="134"/>
      <family val="2"/>
      <color theme="1"/>
      <sz val="8"/>
    </font>
    <font>
      <name val="宋体"/>
      <charset val="134"/>
      <family val="3"/>
      <color rgb="FF000000"/>
      <sz val="10.5"/>
    </font>
    <font>
      <name val="等线"/>
      <charset val="134"/>
      <family val="3"/>
      <color theme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0"/>
      <sz val="10"/>
    </font>
    <font>
      <name val="等线"/>
      <charset val="134"/>
      <family val="3"/>
      <color theme="1"/>
      <sz val="10"/>
    </font>
    <font>
      <name val="等线"/>
      <charset val="134"/>
      <family val="3"/>
      <sz val="10"/>
    </font>
    <font>
      <name val="微软雅黑"/>
      <charset val="134"/>
      <family val="2"/>
      <sz val="10"/>
    </font>
    <font>
      <name val="宋体"/>
      <charset val="134"/>
      <family val="3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theme="4" tint="-0.09997863704336681"/>
      </left>
      <right style="thin">
        <color theme="4" tint="-0.09997863704336681"/>
      </right>
      <top style="thin">
        <color theme="4" tint="-0.09997863704336681"/>
      </top>
      <bottom style="thin">
        <color theme="4" tint="-0.09997863704336681"/>
      </bottom>
      <diagonal/>
    </border>
    <border>
      <left style="thin">
        <color theme="4" tint="-0.09997863704336681"/>
      </left>
      <right/>
      <top style="thin">
        <color theme="4" tint="-0.09997863704336681"/>
      </top>
      <bottom style="thin">
        <color theme="4" tint="-0.09997863704336681"/>
      </bottom>
      <diagonal/>
    </border>
    <border>
      <left/>
      <right/>
      <top style="thin">
        <color theme="4" tint="-0.09997863704336681"/>
      </top>
      <bottom style="thin">
        <color theme="4" tint="-0.09997863704336681"/>
      </bottom>
      <diagonal/>
    </border>
    <border>
      <left/>
      <right style="thin">
        <color theme="4" tint="-0.09997863704336681"/>
      </right>
      <top style="thin">
        <color theme="4" tint="-0.09997863704336681"/>
      </top>
      <bottom style="thin">
        <color theme="4" tint="-0.09997863704336681"/>
      </bottom>
      <diagonal/>
    </border>
    <border>
      <left style="thin">
        <color theme="8" tint="-0.09997863704336681"/>
      </left>
      <right style="thin">
        <color theme="8" tint="-0.09997863704336681"/>
      </right>
      <top style="thin">
        <color theme="8" tint="-0.09997863704336681"/>
      </top>
      <bottom style="thin">
        <color theme="8" tint="-0.09997863704336681"/>
      </bottom>
      <diagonal/>
    </border>
    <border>
      <left style="medium">
        <color theme="8" tint="-0.09997863704336681"/>
      </left>
      <right style="thin">
        <color theme="8" tint="-0.09997863704336681"/>
      </right>
      <top style="medium">
        <color theme="8" tint="-0.09997863704336681"/>
      </top>
      <bottom style="thin">
        <color theme="8" tint="-0.09997863704336681"/>
      </bottom>
      <diagonal/>
    </border>
    <border>
      <left style="thin">
        <color theme="8" tint="-0.09997863704336681"/>
      </left>
      <right style="thin">
        <color theme="8" tint="-0.09997863704336681"/>
      </right>
      <top style="medium">
        <color theme="8" tint="-0.09997863704336681"/>
      </top>
      <bottom style="thin">
        <color theme="8" tint="-0.09997863704336681"/>
      </bottom>
      <diagonal/>
    </border>
    <border>
      <left style="thin">
        <color theme="8" tint="-0.09997863704336681"/>
      </left>
      <right style="medium">
        <color theme="8" tint="-0.09997863704336681"/>
      </right>
      <top style="medium">
        <color theme="8" tint="-0.09997863704336681"/>
      </top>
      <bottom style="thin">
        <color theme="8" tint="-0.09997863704336681"/>
      </bottom>
      <diagonal/>
    </border>
    <border>
      <left style="medium">
        <color theme="8" tint="-0.09997863704336681"/>
      </left>
      <right style="thin">
        <color theme="8" tint="-0.09997863704336681"/>
      </right>
      <top style="thin">
        <color theme="8" tint="-0.09997863704336681"/>
      </top>
      <bottom style="thin">
        <color theme="8" tint="-0.09997863704336681"/>
      </bottom>
      <diagonal/>
    </border>
    <border>
      <left style="thin">
        <color theme="8" tint="-0.09997863704336681"/>
      </left>
      <right style="medium">
        <color theme="8" tint="-0.09997863704336681"/>
      </right>
      <top style="thin">
        <color theme="8" tint="-0.09997863704336681"/>
      </top>
      <bottom style="thin">
        <color theme="8" tint="-0.09997863704336681"/>
      </bottom>
      <diagonal/>
    </border>
    <border>
      <left style="medium">
        <color theme="8" tint="-0.09997863704336681"/>
      </left>
      <right/>
      <top style="medium">
        <color theme="8" tint="-0.09997863704336681"/>
      </top>
      <bottom/>
      <diagonal/>
    </border>
    <border>
      <left/>
      <right/>
      <top style="medium">
        <color theme="8" tint="-0.09997863704336681"/>
      </top>
      <bottom/>
      <diagonal/>
    </border>
    <border>
      <left/>
      <right style="medium">
        <color theme="8" tint="-0.09997863704336681"/>
      </right>
      <top style="medium">
        <color theme="8" tint="-0.09997863704336681"/>
      </top>
      <bottom/>
      <diagonal/>
    </border>
    <border>
      <left style="medium">
        <color theme="8" tint="-0.09997863704336681"/>
      </left>
      <right/>
      <top/>
      <bottom/>
      <diagonal/>
    </border>
    <border>
      <left/>
      <right style="medium">
        <color theme="8" tint="-0.09997863704336681"/>
      </right>
      <top/>
      <bottom/>
      <diagonal/>
    </border>
    <border>
      <left style="medium">
        <color theme="8" tint="-0.09997863704336681"/>
      </left>
      <right/>
      <top/>
      <bottom style="medium">
        <color theme="8" tint="-0.09997863704336681"/>
      </bottom>
      <diagonal/>
    </border>
    <border>
      <left/>
      <right/>
      <top/>
      <bottom style="medium">
        <color theme="8" tint="-0.09997863704336681"/>
      </bottom>
      <diagonal/>
    </border>
    <border>
      <left/>
      <right style="medium">
        <color theme="8" tint="-0.09997863704336681"/>
      </right>
      <top/>
      <bottom style="medium">
        <color theme="8" tint="-0.09997863704336681"/>
      </bottom>
      <diagonal/>
    </border>
    <border>
      <left/>
      <right/>
      <top style="thin">
        <color theme="4" tint="-0.09997863704336681"/>
      </top>
      <bottom/>
      <diagonal/>
    </border>
    <border>
      <left/>
      <right style="thin">
        <color theme="4" tint="-0.09997863704336681"/>
      </right>
      <top style="thin">
        <color theme="4" tint="-0.09997863704336681"/>
      </top>
      <bottom/>
      <diagonal/>
    </border>
    <border>
      <left style="thin">
        <color theme="4" tint="-0.09997863704336681"/>
      </left>
      <right/>
      <top/>
      <bottom/>
      <diagonal/>
    </border>
    <border>
      <left style="thin">
        <color theme="4" tint="-0.09997863704336681"/>
      </left>
      <right style="thin">
        <color theme="4" tint="-0.09997863704336681"/>
      </right>
      <top/>
      <bottom/>
      <diagonal/>
    </border>
    <border>
      <left style="thin">
        <color theme="4" tint="-0.09997863704336681"/>
      </left>
      <right style="thin">
        <color theme="4" tint="-0.09997863704336681"/>
      </right>
      <top/>
      <bottom style="thin">
        <color theme="4" tint="-0.09997863704336681"/>
      </bottom>
      <diagonal/>
    </border>
    <border>
      <left/>
      <right style="thin">
        <color theme="4" tint="-0.09997863704336681"/>
      </right>
      <top/>
      <bottom/>
      <diagonal/>
    </border>
    <border>
      <left style="thin">
        <color theme="4" tint="-0.09997863704336681"/>
      </left>
      <right/>
      <top/>
      <bottom style="thin">
        <color theme="4" tint="-0.09997863704336681"/>
      </bottom>
      <diagonal/>
    </border>
    <border>
      <left/>
      <right style="thin">
        <color theme="4" tint="-0.09997863704336681"/>
      </right>
      <top/>
      <bottom style="thin">
        <color theme="4" tint="-0.09997863704336681"/>
      </bottom>
      <diagonal/>
    </border>
    <border>
      <left/>
      <right/>
      <top/>
      <bottom style="thin">
        <color theme="4" tint="-0.09997863704336681"/>
      </bottom>
      <diagonal/>
    </border>
    <border>
      <left/>
      <right/>
      <top style="thin">
        <color theme="8" tint="-0.09997863704336681"/>
      </top>
      <bottom/>
      <diagonal/>
    </border>
    <border>
      <left/>
      <right style="thin">
        <color theme="8" tint="-0.09997863704336681"/>
      </right>
      <top style="thin">
        <color theme="8" tint="-0.09997863704336681"/>
      </top>
      <bottom/>
      <diagonal/>
    </border>
    <border>
      <left/>
      <right style="thin">
        <color theme="8" tint="-0.09997863704336681"/>
      </right>
      <top style="thin">
        <color theme="8" tint="-0.09997863704336681"/>
      </top>
      <bottom style="thin">
        <color theme="8" tint="-0.09997863704336681"/>
      </bottom>
      <diagonal/>
    </border>
    <border>
      <left/>
      <right/>
      <top style="thin">
        <color theme="8" tint="-0.09997863704336681"/>
      </top>
      <bottom style="thin">
        <color theme="8" tint="-0.09997863704336681"/>
      </bottom>
      <diagonal/>
    </border>
    <border>
      <left/>
      <right style="thin">
        <color theme="8" tint="-0.09997863704336681"/>
      </right>
      <top style="medium">
        <color theme="8" tint="-0.09997863704336681"/>
      </top>
      <bottom/>
      <diagonal/>
    </border>
    <border>
      <left/>
      <right/>
      <top style="medium">
        <color theme="8" tint="-0.09997863704336681"/>
      </top>
      <bottom style="thin">
        <color theme="8" tint="-0.09997863704336681"/>
      </bottom>
      <diagonal/>
    </border>
    <border>
      <left/>
      <right style="thin">
        <color theme="8" tint="-0.09997863704336681"/>
      </right>
      <top style="medium">
        <color theme="8" tint="-0.09997863704336681"/>
      </top>
      <bottom style="thin">
        <color theme="8" tint="-0.09997863704336681"/>
      </bottom>
      <diagonal/>
    </border>
    <border>
      <left style="medium">
        <color theme="8" tint="-0.09997863704336681"/>
      </left>
      <right style="medium">
        <color theme="8" tint="-0.09997863704336681"/>
      </right>
      <top style="medium">
        <color theme="8" tint="-0.09997863704336681"/>
      </top>
      <bottom style="medium">
        <color theme="8" tint="-0.09997863704336681"/>
      </bottom>
      <diagonal/>
    </border>
  </borders>
  <cellStyleXfs count="1">
    <xf numFmtId="0" fontId="0" fillId="0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center"/>
      <protection locked="1" hidden="1"/>
    </xf>
    <xf numFmtId="0" fontId="8" fillId="5" borderId="1" applyAlignment="1" applyProtection="1" pivotButton="0" quotePrefix="0" xfId="0">
      <alignment horizontal="center" vertical="center"/>
      <protection locked="1" hidden="1"/>
    </xf>
    <xf numFmtId="0" fontId="7" fillId="3" borderId="1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8" fillId="6" borderId="1" applyAlignment="1" applyProtection="1" pivotButton="0" quotePrefix="0" xfId="0">
      <alignment horizontal="center" vertical="center"/>
      <protection locked="1" hidden="1"/>
    </xf>
    <xf numFmtId="0" fontId="11" fillId="0" borderId="0" applyAlignment="1" applyProtection="1" pivotButton="0" quotePrefix="0" xfId="0">
      <alignment horizontal="center" vertical="center" wrapText="1"/>
      <protection locked="1" hidden="1"/>
    </xf>
    <xf numFmtId="0" fontId="8" fillId="0" borderId="0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1" hidden="1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applyProtection="1" pivotButton="0" quotePrefix="0" xfId="0">
      <alignment horizontal="left" vertical="center"/>
      <protection locked="1" hidden="1"/>
    </xf>
    <xf numFmtId="0" fontId="0" fillId="0" borderId="0" applyAlignment="1" pivotButton="0" quotePrefix="0" xfId="0">
      <alignment horizontal="left" vertical="center"/>
    </xf>
    <xf numFmtId="0" fontId="7" fillId="4" borderId="3" applyAlignment="1" applyProtection="1" pivotButton="0" quotePrefix="0" xfId="0">
      <alignment horizontal="center" vertical="center"/>
      <protection locked="0" hidden="0"/>
    </xf>
    <xf numFmtId="0" fontId="7" fillId="3" borderId="3" applyAlignment="1" applyProtection="1" pivotButton="0" quotePrefix="0" xfId="0">
      <alignment horizontal="center" vertical="center"/>
      <protection locked="0" hidden="0"/>
    </xf>
    <xf numFmtId="0" fontId="8" fillId="6" borderId="1" applyAlignment="1" applyProtection="1" pivotButton="0" quotePrefix="0" xfId="0">
      <alignment horizontal="center" vertical="center"/>
      <protection locked="1" hidden="1"/>
    </xf>
    <xf numFmtId="0" fontId="7" fillId="3" borderId="1" applyAlignment="1" applyProtection="1" pivotButton="0" quotePrefix="0" xfId="0">
      <alignment horizontal="center" vertical="center"/>
      <protection locked="0" hidden="0"/>
    </xf>
    <xf numFmtId="0" fontId="7" fillId="3" borderId="2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7" fillId="4" borderId="2" applyAlignment="1" applyProtection="1" pivotButton="0" quotePrefix="0" xfId="0">
      <alignment horizontal="center" vertical="center"/>
      <protection locked="0" hidden="0"/>
    </xf>
    <xf numFmtId="0" fontId="7" fillId="3" borderId="4" applyAlignment="1" applyProtection="1" pivotButton="0" quotePrefix="0" xfId="0">
      <alignment horizontal="center" vertical="center"/>
      <protection locked="0" hidden="0"/>
    </xf>
    <xf numFmtId="0" fontId="7" fillId="4" borderId="4" applyAlignment="1" applyProtection="1" pivotButton="0" quotePrefix="0" xfId="0">
      <alignment horizontal="center" vertical="center"/>
      <protection locked="0" hidden="0"/>
    </xf>
    <xf numFmtId="0" fontId="8" fillId="5" borderId="1" applyAlignment="1" applyProtection="1" pivotButton="0" quotePrefix="0" xfId="0">
      <alignment horizontal="center" vertical="center"/>
      <protection locked="1" hidden="1"/>
    </xf>
    <xf numFmtId="0" fontId="8" fillId="2" borderId="1" applyAlignment="1" applyProtection="1" pivotButton="0" quotePrefix="0" xfId="0">
      <alignment horizontal="center" vertical="center"/>
      <protection locked="1" hidden="1"/>
    </xf>
    <xf numFmtId="0" fontId="7" fillId="0" borderId="11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13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15" applyAlignment="1" pivotButton="0" quotePrefix="0" xfId="0">
      <alignment horizontal="left" vertical="center" wrapText="1"/>
    </xf>
    <xf numFmtId="0" fontId="7" fillId="0" borderId="16" applyAlignment="1" pivotButton="0" quotePrefix="0" xfId="0">
      <alignment horizontal="left" vertical="center" wrapText="1"/>
    </xf>
    <xf numFmtId="0" fontId="7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left" vertical="center" wrapText="1"/>
    </xf>
    <xf numFmtId="0" fontId="8" fillId="7" borderId="6" applyAlignment="1" applyProtection="1" pivotButton="0" quotePrefix="0" xfId="0">
      <alignment horizontal="center" vertical="center"/>
      <protection locked="1" hidden="1"/>
    </xf>
    <xf numFmtId="0" fontId="8" fillId="7" borderId="7" applyAlignment="1" applyProtection="1" pivotButton="0" quotePrefix="0" xfId="0">
      <alignment horizontal="center" vertical="center"/>
      <protection locked="1" hidden="1"/>
    </xf>
    <xf numFmtId="0" fontId="8" fillId="7" borderId="8" applyAlignment="1" applyProtection="1" pivotButton="0" quotePrefix="0" xfId="0">
      <alignment horizontal="center" vertical="center"/>
      <protection locked="1" hidden="1"/>
    </xf>
    <xf numFmtId="0" fontId="11" fillId="9" borderId="9" applyAlignment="1" applyProtection="1" pivotButton="0" quotePrefix="0" xfId="0">
      <alignment horizontal="center" vertical="center"/>
      <protection locked="1" hidden="1"/>
    </xf>
    <xf numFmtId="0" fontId="11" fillId="9" borderId="5" applyAlignment="1" applyProtection="1" pivotButton="0" quotePrefix="0" xfId="0">
      <alignment horizontal="center" vertical="center"/>
      <protection locked="1" hidden="1"/>
    </xf>
    <xf numFmtId="0" fontId="7" fillId="0" borderId="5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10" applyAlignment="1" pivotButton="0" quotePrefix="0" xfId="0">
      <alignment horizontal="center" vertical="center"/>
    </xf>
    <xf numFmtId="0" fontId="11" fillId="3" borderId="9" applyAlignment="1" applyProtection="1" pivotButton="0" quotePrefix="0" xfId="0">
      <alignment horizontal="center" vertical="center"/>
      <protection locked="1" hidden="1"/>
    </xf>
    <xf numFmtId="0" fontId="11" fillId="3" borderId="5" applyAlignment="1" applyProtection="1" pivotButton="0" quotePrefix="0" xfId="0">
      <alignment horizontal="center" vertical="center"/>
      <protection locked="1" hidden="1"/>
    </xf>
    <xf numFmtId="0" fontId="7" fillId="3" borderId="5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8" fillId="8" borderId="6" applyAlignment="1" applyProtection="1" pivotButton="0" quotePrefix="0" xfId="0">
      <alignment horizontal="center" vertical="center"/>
      <protection locked="1" hidden="1"/>
    </xf>
    <xf numFmtId="0" fontId="8" fillId="8" borderId="7" applyAlignment="1" applyProtection="1" pivotButton="0" quotePrefix="0" xfId="0">
      <alignment horizontal="center" vertical="center"/>
      <protection locked="1" hidden="1"/>
    </xf>
    <xf numFmtId="0" fontId="8" fillId="8" borderId="8" applyAlignment="1" applyProtection="1" pivotButton="0" quotePrefix="0" xfId="0">
      <alignment horizontal="center" vertical="center"/>
      <protection locked="1" hidden="1"/>
    </xf>
    <xf numFmtId="0" fontId="8" fillId="8" borderId="9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8" fillId="8" borderId="10" applyAlignment="1" pivotButton="0" quotePrefix="0" xfId="0">
      <alignment horizontal="center" vertical="center"/>
    </xf>
    <xf numFmtId="0" fontId="0" fillId="6" borderId="1" applyAlignment="1" applyProtection="1" pivotButton="0" quotePrefix="0" xfId="0">
      <alignment horizontal="center" vertical="center"/>
      <protection locked="1" hidden="1"/>
    </xf>
    <xf numFmtId="0" fontId="8" fillId="3" borderId="1" applyAlignment="1" applyProtection="1" pivotButton="0" quotePrefix="0" xfId="0">
      <alignment horizontal="center" vertical="center"/>
      <protection locked="1" hidden="1"/>
    </xf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4" borderId="1" applyAlignment="1" applyProtection="1" pivotButton="0" quotePrefix="0" xfId="0">
      <alignment horizontal="center"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1" hidden="1"/>
    </xf>
    <xf numFmtId="0" fontId="6" fillId="5" borderId="1" applyAlignment="1" applyProtection="1" pivotButton="0" quotePrefix="0" xfId="0">
      <alignment horizontal="center" vertical="center"/>
      <protection locked="1" hidden="1"/>
    </xf>
    <xf numFmtId="0" fontId="6" fillId="6" borderId="1" applyAlignment="1" applyProtection="1" pivotButton="0" quotePrefix="0" xfId="0">
      <alignment horizontal="center" vertical="center"/>
      <protection locked="1" hidden="1"/>
    </xf>
    <xf numFmtId="0" fontId="0" fillId="6" borderId="2" applyAlignment="1" applyProtection="1" pivotButton="0" quotePrefix="0" xfId="0">
      <alignment horizontal="center" vertical="center"/>
      <protection locked="1" hidden="1"/>
    </xf>
    <xf numFmtId="0" fontId="0" fillId="6" borderId="3" applyAlignment="1" applyProtection="1" pivotButton="0" quotePrefix="0" xfId="0">
      <alignment horizontal="center" vertical="center"/>
      <protection locked="1" hidden="1"/>
    </xf>
    <xf numFmtId="0" fontId="0" fillId="6" borderId="4" applyAlignment="1" applyProtection="1" pivotButton="0" quotePrefix="0" xfId="0">
      <alignment horizontal="center" vertical="center"/>
      <protection locked="1" hidden="1"/>
    </xf>
    <xf numFmtId="0" fontId="0" fillId="0" borderId="0" pivotButton="0" quotePrefix="0" xfId="0"/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20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25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3" applyProtection="1" pivotButton="0" quotePrefix="0" xfId="0">
      <protection locked="0" hidden="0"/>
    </xf>
    <xf numFmtId="0" fontId="0" fillId="0" borderId="27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7" fillId="0" borderId="35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0" applyProtection="1" pivotButton="0" quotePrefix="0" xfId="0">
      <protection locked="1" hidden="1"/>
    </xf>
    <xf numFmtId="0" fontId="0" fillId="0" borderId="31" pivotButton="0" quotePrefix="0" xfId="0"/>
    <xf numFmtId="0" fontId="0" fillId="0" borderId="3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常规" xfId="0" builtinId="0"/>
  </cellStyles>
  <dxfs count="20"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</author>
  </authors>
  <commentList>
    <comment ref="Q3" authorId="0" shapeId="0">
      <text>
        <t>有些主题是扩展内容，请询问你的MC后再进行使用。括号代表其所属的拓展书：
SS：《Shadows &amp; Showdowns》暗影与对决
LL：《Local Legends》本地传奇</t>
      </text>
    </comment>
    <comment ref="B4" authorId="0" shapeId="0">
      <text>
        <t>这些内容都不是必填的，酌情填写即可</t>
      </text>
    </comment>
    <comment ref="E4" authorId="0" shapeId="0">
      <text>
        <t>这些内容都不是必填的，酌情填写即可</t>
      </text>
    </comment>
    <comment ref="Q4" authorId="0" shapeId="0">
      <text>
        <t xml:space="preserve">给你的主题起个名字
</t>
      </text>
    </comment>
    <comment ref="B5" authorId="0" shapeId="0">
      <text>
        <t>这些内容都不是必填的，酌情填写即可</t>
      </text>
    </comment>
    <comment ref="E5" authorId="0" shapeId="0">
      <text>
        <t>这些内容都不是必填的，酌情填写即可</t>
      </text>
    </comment>
    <comment ref="Q5" authorId="0" shapeId="0">
      <text>
        <t>身份和谜题很重要，如果不知道该如何填写，请和你的MC讨论</t>
      </text>
    </comment>
    <comment ref="Q6" authorId="0" shapeId="0">
      <text>
        <t>这个主题的故事，或者外在体现是什么样的</t>
      </text>
    </comment>
    <comment ref="P10" authorId="0" shapeId="0">
      <text>
        <t>主题问卷的问题A是必须回答的</t>
      </text>
    </comment>
    <comment ref="A25" authorId="0" shapeId="0">
      <text>
        <t>【一个核心动作变为非同凡响】这个选项可以选择3次，其他选择至多选择一次</t>
      </text>
    </comment>
  </commentList>
</comments>
</file>

<file path=xl/theme/theme1.xml><?xml version="1.0" encoding="utf-8"?>
<a:theme xmlns:a="http://schemas.openxmlformats.org/drawingml/2006/main" name="Office">
  <a:themeElements>
    <a:clrScheme name="迷雾之城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2F2F2"/>
      </a:accent1>
      <a:accent2>
        <a:srgbClr val="59334F"/>
      </a:accent2>
      <a:accent3>
        <a:srgbClr val="5F4C86"/>
      </a:accent3>
      <a:accent4>
        <a:srgbClr val="3A6484"/>
      </a:accent4>
      <a:accent5>
        <a:srgbClr val="FAFAFA"/>
      </a:accent5>
      <a:accent6>
        <a:srgbClr val="0094D5"/>
      </a:accent6>
      <a:hlink>
        <a:srgbClr val="00B7D0"/>
      </a:hlink>
      <a:folHlink>
        <a:srgbClr val="00D6B4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4"/>
  <sheetViews>
    <sheetView showGridLines="0" tabSelected="1" zoomScaleNormal="100" workbookViewId="0">
      <selection activeCell="B3" sqref="B3:C3"/>
    </sheetView>
  </sheetViews>
  <sheetFormatPr baseColWidth="8" defaultRowHeight="14.4"/>
  <cols>
    <col width="9.77734375" customWidth="1" style="72" min="1" max="6"/>
    <col width="1.77734375" customWidth="1" style="72" min="7" max="7"/>
    <col width="9.77734375" customWidth="1" style="72" min="8" max="13"/>
    <col width="1.77734375" customWidth="1" style="72" min="14" max="14"/>
    <col width="8.33203125" customWidth="1" style="72" min="15" max="22"/>
    <col width="1.77734375" customWidth="1" style="72" min="23" max="23"/>
    <col width="8.33203125" customWidth="1" style="72" min="24" max="31"/>
    <col width="1.77734375" customWidth="1" style="72" min="32" max="32"/>
    <col width="8.33203125" customWidth="1" style="72" min="33" max="40"/>
    <col width="1.77734375" customWidth="1" style="72" min="41" max="41"/>
    <col width="8.33203125" customWidth="1" style="72" min="42" max="49"/>
    <col width="1.77734375" customWidth="1" style="72" min="50" max="50"/>
    <col width="8.33203125" customWidth="1" style="72" min="51" max="58"/>
    <col width="1.77734375" customWidth="1" style="72" min="59" max="59"/>
    <col width="8.33203125" customWidth="1" style="72" min="60" max="67"/>
  </cols>
  <sheetData>
    <row r="1" ht="15.6" customHeight="1" s="72">
      <c r="A1" s="24" t="inlineStr">
        <is>
          <t>基本信息</t>
        </is>
      </c>
      <c r="B1" s="73" t="n"/>
      <c r="C1" s="73" t="n"/>
      <c r="D1" s="73" t="n"/>
      <c r="E1" s="73" t="n"/>
      <c r="F1" s="74" t="n"/>
      <c r="G1" s="13" t="n"/>
      <c r="H1" s="24" t="inlineStr">
        <is>
          <t>形象</t>
        </is>
      </c>
      <c r="I1" s="73" t="n"/>
      <c r="J1" s="73" t="n"/>
      <c r="K1" s="73" t="n"/>
      <c r="L1" s="73" t="n"/>
      <c r="M1" s="74" t="n"/>
      <c r="N1" s="13" t="n"/>
      <c r="O1" s="32" t="inlineStr">
        <is>
          <t>角色主题</t>
        </is>
      </c>
      <c r="P1" s="73" t="n"/>
      <c r="Q1" s="73" t="n"/>
      <c r="R1" s="73" t="n"/>
      <c r="S1" s="73" t="n"/>
      <c r="T1" s="73" t="n"/>
      <c r="U1" s="73" t="n"/>
      <c r="V1" s="74" t="n"/>
      <c r="W1" s="13" t="n"/>
      <c r="X1" s="31" t="inlineStr">
        <is>
          <t>角色主题</t>
        </is>
      </c>
      <c r="Y1" s="73" t="n"/>
      <c r="Z1" s="73" t="n"/>
      <c r="AA1" s="73" t="n"/>
      <c r="AB1" s="73" t="n"/>
      <c r="AC1" s="73" t="n"/>
      <c r="AD1" s="73" t="n"/>
      <c r="AE1" s="74" t="n"/>
      <c r="AF1" s="13" t="n"/>
      <c r="AG1" s="31" t="inlineStr">
        <is>
          <t>角色主题</t>
        </is>
      </c>
      <c r="AH1" s="73" t="n"/>
      <c r="AI1" s="73" t="n"/>
      <c r="AJ1" s="73" t="n"/>
      <c r="AK1" s="73" t="n"/>
      <c r="AL1" s="73" t="n"/>
      <c r="AM1" s="73" t="n"/>
      <c r="AN1" s="74" t="n"/>
      <c r="AO1" s="13" t="n"/>
      <c r="AP1" s="31" t="inlineStr">
        <is>
          <t>角色主题</t>
        </is>
      </c>
      <c r="AQ1" s="73" t="n"/>
      <c r="AR1" s="73" t="n"/>
      <c r="AS1" s="73" t="n"/>
      <c r="AT1" s="73" t="n"/>
      <c r="AU1" s="73" t="n"/>
      <c r="AV1" s="73" t="n"/>
      <c r="AW1" s="74" t="n"/>
      <c r="AX1" s="13" t="n"/>
      <c r="AY1" s="24" t="inlineStr">
        <is>
          <t>团队主题</t>
        </is>
      </c>
      <c r="AZ1" s="73" t="n"/>
      <c r="BA1" s="73" t="n"/>
      <c r="BB1" s="73" t="n"/>
      <c r="BC1" s="73" t="n"/>
      <c r="BD1" s="73" t="n"/>
      <c r="BE1" s="73" t="n"/>
      <c r="BF1" s="74" t="n"/>
      <c r="BG1" s="13" t="n"/>
      <c r="BH1" s="24" t="inlineStr">
        <is>
          <t>附加主题</t>
        </is>
      </c>
      <c r="BI1" s="73" t="n"/>
      <c r="BJ1" s="73" t="n"/>
      <c r="BK1" s="73" t="n"/>
      <c r="BL1" s="73" t="n"/>
      <c r="BM1" s="73" t="n"/>
      <c r="BN1" s="73" t="n"/>
      <c r="BO1" s="74" t="n"/>
    </row>
    <row r="2" ht="15.6" customHeight="1" s="72">
      <c r="A2" s="24" t="inlineStr">
        <is>
          <t>姓名</t>
        </is>
      </c>
      <c r="B2" s="25" t="inlineStr">
        <is>
          <t>炎</t>
        </is>
      </c>
      <c r="C2" s="75" t="n"/>
      <c r="D2" s="24" t="inlineStr">
        <is>
          <t>玩家</t>
        </is>
      </c>
      <c r="E2" s="25" t="inlineStr">
        <is>
          <t>阿明</t>
        </is>
      </c>
      <c r="F2" s="75" t="n"/>
      <c r="G2" s="14" t="n"/>
      <c r="H2" s="27" t="n"/>
      <c r="I2" s="76" t="n"/>
      <c r="J2" s="76" t="n"/>
      <c r="K2" s="76" t="n"/>
      <c r="L2" s="76" t="n"/>
      <c r="M2" s="77" t="n"/>
      <c r="N2" s="14" t="n"/>
      <c r="O2" s="32" t="inlineStr">
        <is>
          <t>主题类型</t>
        </is>
      </c>
      <c r="P2" s="74" t="n"/>
      <c r="Q2" s="25" t="inlineStr">
        <is>
          <t>理法主题</t>
        </is>
      </c>
      <c r="R2" s="78" t="n"/>
      <c r="S2" s="78" t="n"/>
      <c r="T2" s="78" t="n"/>
      <c r="U2" s="78" t="n"/>
      <c r="V2" s="75" t="n"/>
      <c r="W2" s="14" t="n"/>
      <c r="X2" s="31" t="inlineStr">
        <is>
          <t>主题类型</t>
        </is>
      </c>
      <c r="Y2" s="74" t="n"/>
      <c r="Z2" s="25" t="inlineStr">
        <is>
          <t>神法主题</t>
        </is>
      </c>
      <c r="AA2" s="78" t="n"/>
      <c r="AB2" s="78" t="n"/>
      <c r="AC2" s="78" t="n"/>
      <c r="AD2" s="78" t="n"/>
      <c r="AE2" s="75" t="n"/>
      <c r="AF2" s="14" t="n"/>
      <c r="AG2" s="31" t="inlineStr">
        <is>
          <t>主题类型</t>
        </is>
      </c>
      <c r="AH2" s="74" t="n"/>
      <c r="AI2" s="25" t="inlineStr">
        <is>
          <t>神法主题</t>
        </is>
      </c>
      <c r="AJ2" s="78" t="n"/>
      <c r="AK2" s="78" t="n"/>
      <c r="AL2" s="78" t="n"/>
      <c r="AM2" s="78" t="n"/>
      <c r="AN2" s="75" t="n"/>
      <c r="AO2" s="14" t="n"/>
      <c r="AP2" s="31" t="inlineStr">
        <is>
          <t>主题类型</t>
        </is>
      </c>
      <c r="AQ2" s="74" t="n"/>
      <c r="AR2" s="25" t="inlineStr">
        <is>
          <t>神法主题</t>
        </is>
      </c>
      <c r="AS2" s="78" t="n"/>
      <c r="AT2" s="78" t="n"/>
      <c r="AU2" s="78" t="n"/>
      <c r="AV2" s="78" t="n"/>
      <c r="AW2" s="75" t="n"/>
      <c r="AX2" s="14" t="n"/>
      <c r="AY2" s="24" t="inlineStr">
        <is>
          <t>主题类型</t>
        </is>
      </c>
      <c r="AZ2" s="74" t="n"/>
      <c r="BA2" s="25" t="inlineStr">
        <is>
          <t>团队主题</t>
        </is>
      </c>
      <c r="BB2" s="78" t="n"/>
      <c r="BC2" s="78" t="n"/>
      <c r="BD2" s="78" t="n"/>
      <c r="BE2" s="78" t="n"/>
      <c r="BF2" s="75" t="n"/>
      <c r="BG2" s="14" t="n"/>
      <c r="BH2" s="24" t="inlineStr">
        <is>
          <t>主题类型</t>
        </is>
      </c>
      <c r="BI2" s="74" t="n"/>
      <c r="BJ2" s="25" t="inlineStr">
        <is>
          <t>附加主题</t>
        </is>
      </c>
      <c r="BK2" s="78" t="n"/>
      <c r="BL2" s="78" t="n"/>
      <c r="BM2" s="78" t="n"/>
      <c r="BN2" s="78" t="n"/>
      <c r="BO2" s="75" t="n"/>
    </row>
    <row r="3" ht="15.6" customHeight="1" s="72">
      <c r="A3" s="24" t="inlineStr">
        <is>
          <t>年龄</t>
        </is>
      </c>
      <c r="B3" s="27" t="n"/>
      <c r="C3" s="75" t="n"/>
      <c r="D3" s="24" t="inlineStr">
        <is>
          <t>性别</t>
        </is>
      </c>
      <c r="E3" s="27" t="n"/>
      <c r="F3" s="75" t="n"/>
      <c r="G3" s="14" t="n"/>
      <c r="H3" s="79" t="n"/>
      <c r="I3" s="80" t="n"/>
      <c r="J3" s="80" t="n"/>
      <c r="K3" s="80" t="n"/>
      <c r="L3" s="80" t="n"/>
      <c r="M3" s="81" t="n"/>
      <c r="N3" s="14" t="n"/>
      <c r="O3" s="32" t="inlineStr">
        <is>
          <t>主题问卷</t>
        </is>
      </c>
      <c r="P3" s="74" t="n"/>
      <c r="Q3" s="27" t="inlineStr">
        <is>
          <t>事件</t>
        </is>
      </c>
      <c r="R3" s="78" t="n"/>
      <c r="S3" s="78" t="n"/>
      <c r="T3" s="78" t="n"/>
      <c r="U3" s="78" t="n"/>
      <c r="V3" s="75" t="n"/>
      <c r="W3" s="14" t="n"/>
      <c r="X3" s="31" t="inlineStr">
        <is>
          <t>主题问卷</t>
        </is>
      </c>
      <c r="Y3" s="74" t="n"/>
      <c r="Z3" s="27" t="inlineStr">
        <is>
          <t>万变</t>
        </is>
      </c>
      <c r="AA3" s="78" t="n"/>
      <c r="AB3" s="78" t="n"/>
      <c r="AC3" s="78" t="n"/>
      <c r="AD3" s="78" t="n"/>
      <c r="AE3" s="75" t="n"/>
      <c r="AF3" s="14" t="n"/>
      <c r="AG3" s="31" t="inlineStr">
        <is>
          <t>主题问卷</t>
        </is>
      </c>
      <c r="AH3" s="74" t="n"/>
      <c r="AI3" s="27" t="inlineStr">
        <is>
          <t>坚壁</t>
        </is>
      </c>
      <c r="AJ3" s="78" t="n"/>
      <c r="AK3" s="78" t="n"/>
      <c r="AL3" s="78" t="n"/>
      <c r="AM3" s="78" t="n"/>
      <c r="AN3" s="75" t="n"/>
      <c r="AO3" s="14" t="n"/>
      <c r="AP3" s="31" t="inlineStr">
        <is>
          <t>主题问卷</t>
        </is>
      </c>
      <c r="AQ3" s="74" t="n"/>
      <c r="AR3" s="27" t="inlineStr">
        <is>
          <t>诡秘</t>
        </is>
      </c>
      <c r="AS3" s="78" t="n"/>
      <c r="AT3" s="78" t="n"/>
      <c r="AU3" s="78" t="n"/>
      <c r="AV3" s="78" t="n"/>
      <c r="AW3" s="75" t="n"/>
      <c r="AX3" s="14" t="n"/>
      <c r="AY3" s="24" t="inlineStr">
        <is>
          <t>主题问卷</t>
        </is>
      </c>
      <c r="AZ3" s="74" t="n"/>
      <c r="BA3" s="27" t="inlineStr">
        <is>
          <t>团队问卷</t>
        </is>
      </c>
      <c r="BB3" s="78" t="n"/>
      <c r="BC3" s="78" t="n"/>
      <c r="BD3" s="78" t="n"/>
      <c r="BE3" s="78" t="n"/>
      <c r="BF3" s="75" t="n"/>
      <c r="BG3" s="14" t="n"/>
      <c r="BH3" s="24" t="inlineStr">
        <is>
          <t>主题问卷</t>
        </is>
      </c>
      <c r="BI3" s="74" t="n"/>
      <c r="BJ3" s="27" t="inlineStr">
        <is>
          <t>盟友</t>
        </is>
      </c>
      <c r="BK3" s="78" t="n"/>
      <c r="BL3" s="78" t="n"/>
      <c r="BM3" s="78" t="n"/>
      <c r="BN3" s="78" t="n"/>
      <c r="BO3" s="75" t="n"/>
    </row>
    <row r="4" ht="15.6" customHeight="1" s="72">
      <c r="A4" s="24" t="inlineStr">
        <is>
          <t>故乡</t>
        </is>
      </c>
      <c r="B4" s="25" t="n"/>
      <c r="C4" s="75" t="n"/>
      <c r="D4" s="24" t="inlineStr">
        <is>
          <t>现居</t>
        </is>
      </c>
      <c r="E4" s="25" t="n"/>
      <c r="F4" s="75" t="n"/>
      <c r="G4" s="14" t="n"/>
      <c r="H4" s="79" t="n"/>
      <c r="I4" s="80" t="n"/>
      <c r="J4" s="80" t="n"/>
      <c r="K4" s="80" t="n"/>
      <c r="L4" s="80" t="n"/>
      <c r="M4" s="81" t="n"/>
      <c r="N4" s="14" t="n"/>
      <c r="O4" s="32" t="inlineStr">
        <is>
          <t>标题</t>
        </is>
      </c>
      <c r="P4" s="74" t="n"/>
      <c r="Q4" s="25" t="inlineStr">
        <is>
          <t>一场改变命运的大火</t>
        </is>
      </c>
      <c r="R4" s="78" t="n"/>
      <c r="S4" s="78" t="n"/>
      <c r="T4" s="78" t="n"/>
      <c r="U4" s="78" t="n"/>
      <c r="V4" s="75" t="n"/>
      <c r="W4" s="14" t="n"/>
      <c r="X4" s="31" t="inlineStr">
        <is>
          <t>标题</t>
        </is>
      </c>
      <c r="Y4" s="74" t="n"/>
      <c r="Z4" s="25" t="inlineStr">
        <is>
          <t>流变的火唇</t>
        </is>
      </c>
      <c r="AA4" s="78" t="n"/>
      <c r="AB4" s="78" t="n"/>
      <c r="AC4" s="78" t="n"/>
      <c r="AD4" s="78" t="n"/>
      <c r="AE4" s="75" t="n"/>
      <c r="AF4" s="14" t="n"/>
      <c r="AG4" s="31" t="inlineStr">
        <is>
          <t>标题</t>
        </is>
      </c>
      <c r="AH4" s="74" t="n"/>
      <c r="AI4" s="25" t="inlineStr">
        <is>
          <t>灰烬之壁</t>
        </is>
      </c>
      <c r="AJ4" s="78" t="n"/>
      <c r="AK4" s="78" t="n"/>
      <c r="AL4" s="78" t="n"/>
      <c r="AM4" s="78" t="n"/>
      <c r="AN4" s="75" t="n"/>
      <c r="AO4" s="14" t="n"/>
      <c r="AP4" s="31" t="inlineStr">
        <is>
          <t>标题</t>
        </is>
      </c>
      <c r="AQ4" s="74" t="n"/>
      <c r="AR4" s="25" t="n"/>
      <c r="AS4" s="78" t="n"/>
      <c r="AT4" s="78" t="n"/>
      <c r="AU4" s="78" t="n"/>
      <c r="AV4" s="78" t="n"/>
      <c r="AW4" s="75" t="n"/>
      <c r="AX4" s="14" t="n"/>
      <c r="AY4" s="24" t="inlineStr">
        <is>
          <t>标题</t>
        </is>
      </c>
      <c r="AZ4" s="74" t="n"/>
      <c r="BA4" s="25" t="n"/>
      <c r="BB4" s="78" t="n"/>
      <c r="BC4" s="78" t="n"/>
      <c r="BD4" s="78" t="n"/>
      <c r="BE4" s="78" t="n"/>
      <c r="BF4" s="75" t="n"/>
      <c r="BG4" s="14" t="n"/>
      <c r="BH4" s="24" t="inlineStr">
        <is>
          <t>标题</t>
        </is>
      </c>
      <c r="BI4" s="74" t="n"/>
      <c r="BJ4" s="25" t="n"/>
      <c r="BK4" s="78" t="n"/>
      <c r="BL4" s="78" t="n"/>
      <c r="BM4" s="78" t="n"/>
      <c r="BN4" s="78" t="n"/>
      <c r="BO4" s="75" t="n"/>
    </row>
    <row r="5" ht="15.6" customHeight="1" s="72">
      <c r="A5" s="24" t="inlineStr">
        <is>
          <t>信仰</t>
        </is>
      </c>
      <c r="B5" s="27" t="n"/>
      <c r="C5" s="75" t="n"/>
      <c r="D5" s="24" t="inlineStr">
        <is>
          <t>牵绊</t>
        </is>
      </c>
      <c r="E5" s="27" t="n"/>
      <c r="F5" s="75" t="n"/>
      <c r="G5" s="13" t="n"/>
      <c r="H5" s="82" t="n"/>
      <c r="I5" s="83" t="n"/>
      <c r="J5" s="83" t="n"/>
      <c r="K5" s="83" t="n"/>
      <c r="L5" s="83" t="n"/>
      <c r="M5" s="84" t="n"/>
      <c r="N5" s="13" t="n"/>
      <c r="O5" s="32">
        <f>IF(Q2="理法主题","身份","谜题")</f>
        <v/>
      </c>
      <c r="P5" s="74" t="n"/>
      <c r="Q5" s="27" t="inlineStr">
        <is>
          <t>我绝不会丢下任何一个同伴。</t>
        </is>
      </c>
      <c r="R5" s="78" t="n"/>
      <c r="S5" s="78" t="n"/>
      <c r="T5" s="78" t="n"/>
      <c r="U5" s="78" t="n"/>
      <c r="V5" s="75" t="n"/>
      <c r="W5" s="13" t="n"/>
      <c r="X5" s="31">
        <f>IF(Z2="理法主题","身份","谜题")</f>
        <v/>
      </c>
      <c r="Y5" s="74" t="n"/>
      <c r="Z5" s="27" t="inlineStr">
        <is>
          <t>变化本身即是我的盾与剑。</t>
        </is>
      </c>
      <c r="AA5" s="78" t="n"/>
      <c r="AB5" s="78" t="n"/>
      <c r="AC5" s="78" t="n"/>
      <c r="AD5" s="78" t="n"/>
      <c r="AE5" s="75" t="n"/>
      <c r="AF5" s="13" t="n"/>
      <c r="AG5" s="31">
        <f>IF(AI2="理法主题","身份","谜题")</f>
        <v/>
      </c>
      <c r="AH5" s="74" t="n"/>
      <c r="AI5" s="27" t="inlineStr">
        <is>
          <t>我护住的人，一个都不能少。</t>
        </is>
      </c>
      <c r="AJ5" s="78" t="n"/>
      <c r="AK5" s="78" t="n"/>
      <c r="AL5" s="78" t="n"/>
      <c r="AM5" s="78" t="n"/>
      <c r="AN5" s="75" t="n"/>
      <c r="AO5" s="13" t="n"/>
      <c r="AP5" s="31">
        <f>IF(AR2="理法主题","身份","谜题")</f>
        <v/>
      </c>
      <c r="AQ5" s="74" t="n"/>
      <c r="AR5" s="27" t="n"/>
      <c r="AS5" s="78" t="n"/>
      <c r="AT5" s="78" t="n"/>
      <c r="AU5" s="78" t="n"/>
      <c r="AV5" s="78" t="n"/>
      <c r="AW5" s="75" t="n"/>
      <c r="AX5" s="13" t="n"/>
      <c r="AY5" s="24" t="inlineStr">
        <is>
          <t>身份/谜题</t>
        </is>
      </c>
      <c r="AZ5" s="74" t="n"/>
      <c r="BA5" s="27" t="n"/>
      <c r="BB5" s="78" t="n"/>
      <c r="BC5" s="78" t="n"/>
      <c r="BD5" s="78" t="n"/>
      <c r="BE5" s="78" t="n"/>
      <c r="BF5" s="75" t="n"/>
      <c r="BG5" s="13" t="n"/>
      <c r="BH5" s="24" t="inlineStr">
        <is>
          <t>身份/谜题</t>
        </is>
      </c>
      <c r="BI5" s="74" t="n"/>
      <c r="BJ5" s="27" t="n"/>
      <c r="BK5" s="78" t="n"/>
      <c r="BL5" s="78" t="n"/>
      <c r="BM5" s="78" t="n"/>
      <c r="BN5" s="78" t="n"/>
      <c r="BO5" s="75" t="n"/>
    </row>
    <row r="6" ht="15.6" customHeight="1" s="72">
      <c r="A6" s="24" t="inlineStr">
        <is>
          <t>故事标签</t>
        </is>
      </c>
      <c r="B6" s="73" t="n"/>
      <c r="C6" s="73" t="n"/>
      <c r="D6" s="73" t="n"/>
      <c r="E6" s="73" t="n"/>
      <c r="F6" s="74" t="n"/>
      <c r="G6" s="15" t="n"/>
      <c r="H6" s="24" t="inlineStr">
        <is>
          <t>背景故事</t>
        </is>
      </c>
      <c r="I6" s="73" t="n"/>
      <c r="J6" s="73" t="n"/>
      <c r="K6" s="73" t="n"/>
      <c r="L6" s="73" t="n"/>
      <c r="M6" s="74" t="n"/>
      <c r="N6" s="15" t="n"/>
      <c r="O6" s="32" t="inlineStr">
        <is>
          <t>描述</t>
        </is>
      </c>
      <c r="P6" s="85" t="n"/>
      <c r="Q6" s="25" t="inlineStr">
        <is>
          <t>火场里走出的断层者，体内封存着不灭的怒火与旧城的灰烬。</t>
        </is>
      </c>
      <c r="R6" s="76" t="n"/>
      <c r="S6" s="76" t="n"/>
      <c r="T6" s="76" t="n"/>
      <c r="U6" s="76" t="n"/>
      <c r="V6" s="77" t="n"/>
      <c r="W6" s="15" t="n"/>
      <c r="X6" s="31" t="inlineStr">
        <is>
          <t>描述</t>
        </is>
      </c>
      <c r="Y6" s="85" t="n"/>
      <c r="Z6" s="25" t="inlineStr">
        <is>
          <t>神法以火焰与形态变幻护佑我，也时刻重塑着我。</t>
        </is>
      </c>
      <c r="AA6" s="76" t="n"/>
      <c r="AB6" s="76" t="n"/>
      <c r="AC6" s="76" t="n"/>
      <c r="AD6" s="76" t="n"/>
      <c r="AE6" s="77" t="n"/>
      <c r="AF6" s="15" t="n"/>
      <c r="AG6" s="31" t="inlineStr">
        <is>
          <t>描述</t>
        </is>
      </c>
      <c r="AH6" s="85" t="n"/>
      <c r="AI6" s="25" t="inlineStr">
        <is>
          <t>以余烬凝成的屏障。</t>
        </is>
      </c>
      <c r="AJ6" s="76" t="n"/>
      <c r="AK6" s="76" t="n"/>
      <c r="AL6" s="76" t="n"/>
      <c r="AM6" s="76" t="n"/>
      <c r="AN6" s="77" t="n"/>
      <c r="AO6" s="15" t="n"/>
      <c r="AP6" s="31" t="inlineStr">
        <is>
          <t>描述</t>
        </is>
      </c>
      <c r="AQ6" s="85" t="n"/>
      <c r="AR6" s="25" t="n"/>
      <c r="AS6" s="76" t="n"/>
      <c r="AT6" s="76" t="n"/>
      <c r="AU6" s="76" t="n"/>
      <c r="AV6" s="76" t="n"/>
      <c r="AW6" s="77" t="n"/>
      <c r="AX6" s="15" t="n"/>
      <c r="AY6" s="24" t="inlineStr">
        <is>
          <t>描述</t>
        </is>
      </c>
      <c r="AZ6" s="85" t="n"/>
      <c r="BA6" s="25" t="inlineStr">
        <is>
          <t>（请和队友一同讨论作答）</t>
        </is>
      </c>
      <c r="BB6" s="76" t="n"/>
      <c r="BC6" s="76" t="n"/>
      <c r="BD6" s="76" t="n"/>
      <c r="BE6" s="76" t="n"/>
      <c r="BF6" s="77" t="n"/>
      <c r="BG6" s="15" t="n"/>
      <c r="BH6" s="24" t="inlineStr">
        <is>
          <t>描述</t>
        </is>
      </c>
      <c r="BI6" s="85" t="n"/>
      <c r="BJ6" s="25" t="n"/>
      <c r="BK6" s="76" t="n"/>
      <c r="BL6" s="76" t="n"/>
      <c r="BM6" s="76" t="n"/>
      <c r="BN6" s="76" t="n"/>
      <c r="BO6" s="77" t="n"/>
    </row>
    <row r="7" ht="15.6" customHeight="1" s="72">
      <c r="A7" s="25" t="n"/>
      <c r="B7" s="78" t="n"/>
      <c r="C7" s="75" t="n"/>
      <c r="D7" s="25" t="n"/>
      <c r="E7" s="78" t="n"/>
      <c r="F7" s="75" t="n"/>
      <c r="G7" s="15" t="n"/>
      <c r="H7" s="63" t="n"/>
      <c r="I7" s="86" t="n"/>
      <c r="J7" s="86" t="n"/>
      <c r="K7" s="86" t="n"/>
      <c r="L7" s="86" t="n"/>
      <c r="M7" s="85" t="n"/>
      <c r="N7" s="15" t="n"/>
      <c r="O7" s="87" t="n"/>
      <c r="P7" s="88" t="n"/>
      <c r="Q7" s="82" t="n"/>
      <c r="R7" s="83" t="n"/>
      <c r="S7" s="83" t="n"/>
      <c r="T7" s="83" t="n"/>
      <c r="U7" s="83" t="n"/>
      <c r="V7" s="84" t="n"/>
      <c r="W7" s="15" t="n"/>
      <c r="X7" s="87" t="n"/>
      <c r="Y7" s="88" t="n"/>
      <c r="Z7" s="82" t="n"/>
      <c r="AA7" s="83" t="n"/>
      <c r="AB7" s="83" t="n"/>
      <c r="AC7" s="83" t="n"/>
      <c r="AD7" s="83" t="n"/>
      <c r="AE7" s="84" t="n"/>
      <c r="AF7" s="15" t="n"/>
      <c r="AG7" s="87" t="n"/>
      <c r="AH7" s="88" t="n"/>
      <c r="AI7" s="82" t="n"/>
      <c r="AJ7" s="83" t="n"/>
      <c r="AK7" s="83" t="n"/>
      <c r="AL7" s="83" t="n"/>
      <c r="AM7" s="83" t="n"/>
      <c r="AN7" s="84" t="n"/>
      <c r="AO7" s="15" t="n"/>
      <c r="AP7" s="87" t="n"/>
      <c r="AQ7" s="88" t="n"/>
      <c r="AR7" s="82" t="n"/>
      <c r="AS7" s="83" t="n"/>
      <c r="AT7" s="83" t="n"/>
      <c r="AU7" s="83" t="n"/>
      <c r="AV7" s="83" t="n"/>
      <c r="AW7" s="84" t="n"/>
      <c r="AX7" s="15" t="n"/>
      <c r="AY7" s="87" t="n"/>
      <c r="AZ7" s="88" t="n"/>
      <c r="BA7" s="82" t="n"/>
      <c r="BB7" s="83" t="n"/>
      <c r="BC7" s="83" t="n"/>
      <c r="BD7" s="83" t="n"/>
      <c r="BE7" s="83" t="n"/>
      <c r="BF7" s="84" t="n"/>
      <c r="BG7" s="15" t="n"/>
      <c r="BH7" s="87" t="n"/>
      <c r="BI7" s="88" t="n"/>
      <c r="BJ7" s="82" t="n"/>
      <c r="BK7" s="83" t="n"/>
      <c r="BL7" s="83" t="n"/>
      <c r="BM7" s="83" t="n"/>
      <c r="BN7" s="83" t="n"/>
      <c r="BO7" s="84" t="n"/>
    </row>
    <row r="8" ht="15.6" customHeight="1" s="72">
      <c r="A8" s="27" t="n"/>
      <c r="B8" s="78" t="n"/>
      <c r="C8" s="75" t="n"/>
      <c r="D8" s="27" t="n"/>
      <c r="E8" s="78" t="n"/>
      <c r="F8" s="75" t="n"/>
      <c r="G8" s="13" t="n"/>
      <c r="H8" s="89" t="n"/>
      <c r="I8" s="90" t="n"/>
      <c r="J8" s="90" t="n"/>
      <c r="K8" s="90" t="n"/>
      <c r="L8" s="90" t="n"/>
      <c r="M8" s="91" t="n"/>
      <c r="N8" s="13" t="n"/>
      <c r="O8" s="32" t="inlineStr">
        <is>
          <t>焦点</t>
        </is>
      </c>
      <c r="P8" s="5" t="inlineStr">
        <is>
          <t>○</t>
        </is>
      </c>
      <c r="Q8" s="6" t="inlineStr">
        <is>
          <t>○</t>
        </is>
      </c>
      <c r="R8" s="5" t="inlineStr">
        <is>
          <t>○</t>
        </is>
      </c>
      <c r="S8" s="32">
        <f>IF(Q2="理法主题","裂痕","淡出")</f>
        <v/>
      </c>
      <c r="T8" s="5" t="inlineStr">
        <is>
          <t>○</t>
        </is>
      </c>
      <c r="U8" s="6" t="inlineStr">
        <is>
          <t>○</t>
        </is>
      </c>
      <c r="V8" s="5" t="inlineStr">
        <is>
          <t>○</t>
        </is>
      </c>
      <c r="W8" s="13" t="n"/>
      <c r="X8" s="31" t="inlineStr">
        <is>
          <t>焦点</t>
        </is>
      </c>
      <c r="Y8" s="5" t="inlineStr">
        <is>
          <t>○</t>
        </is>
      </c>
      <c r="Z8" s="6" t="inlineStr">
        <is>
          <t>○</t>
        </is>
      </c>
      <c r="AA8" s="5" t="inlineStr">
        <is>
          <t>○</t>
        </is>
      </c>
      <c r="AB8" s="31">
        <f>IF(Z2="理法主题","裂痕","淡出")</f>
        <v/>
      </c>
      <c r="AC8" s="5" t="inlineStr">
        <is>
          <t>○</t>
        </is>
      </c>
      <c r="AD8" s="6" t="inlineStr">
        <is>
          <t>○</t>
        </is>
      </c>
      <c r="AE8" s="5" t="inlineStr">
        <is>
          <t>○</t>
        </is>
      </c>
      <c r="AF8" s="13" t="n"/>
      <c r="AG8" s="31" t="inlineStr">
        <is>
          <t>焦点</t>
        </is>
      </c>
      <c r="AH8" s="5" t="inlineStr">
        <is>
          <t>○</t>
        </is>
      </c>
      <c r="AI8" s="6" t="inlineStr">
        <is>
          <t>○</t>
        </is>
      </c>
      <c r="AJ8" s="5" t="inlineStr">
        <is>
          <t>○</t>
        </is>
      </c>
      <c r="AK8" s="31">
        <f>IF(AI2="理法主题","裂痕","淡出")</f>
        <v/>
      </c>
      <c r="AL8" s="5" t="inlineStr">
        <is>
          <t>○</t>
        </is>
      </c>
      <c r="AM8" s="6" t="inlineStr">
        <is>
          <t>○</t>
        </is>
      </c>
      <c r="AN8" s="5" t="inlineStr">
        <is>
          <t>○</t>
        </is>
      </c>
      <c r="AO8" s="13" t="n"/>
      <c r="AP8" s="31" t="inlineStr">
        <is>
          <t>焦点</t>
        </is>
      </c>
      <c r="AQ8" s="5" t="inlineStr">
        <is>
          <t>○</t>
        </is>
      </c>
      <c r="AR8" s="6" t="inlineStr">
        <is>
          <t>○</t>
        </is>
      </c>
      <c r="AS8" s="5" t="inlineStr">
        <is>
          <t>○</t>
        </is>
      </c>
      <c r="AT8" s="31">
        <f>IF(AR2="理法主题","裂痕","淡出")</f>
        <v/>
      </c>
      <c r="AU8" s="5" t="inlineStr">
        <is>
          <t>○</t>
        </is>
      </c>
      <c r="AV8" s="6" t="inlineStr">
        <is>
          <t>○</t>
        </is>
      </c>
      <c r="AW8" s="5" t="inlineStr">
        <is>
          <t>○</t>
        </is>
      </c>
      <c r="AX8" s="13" t="n"/>
      <c r="AY8" s="24" t="inlineStr">
        <is>
          <t>焦点</t>
        </is>
      </c>
      <c r="AZ8" s="5" t="inlineStr">
        <is>
          <t>○</t>
        </is>
      </c>
      <c r="BA8" s="6" t="inlineStr">
        <is>
          <t>○</t>
        </is>
      </c>
      <c r="BB8" s="5" t="inlineStr">
        <is>
          <t>○</t>
        </is>
      </c>
      <c r="BC8" s="24" t="inlineStr">
        <is>
          <t>裂痕</t>
        </is>
      </c>
      <c r="BD8" s="5" t="inlineStr">
        <is>
          <t>○</t>
        </is>
      </c>
      <c r="BE8" s="6" t="inlineStr">
        <is>
          <t>○</t>
        </is>
      </c>
      <c r="BF8" s="5" t="inlineStr">
        <is>
          <t>○</t>
        </is>
      </c>
      <c r="BG8" s="13" t="n"/>
      <c r="BH8" s="24" t="inlineStr">
        <is>
          <t>焦点</t>
        </is>
      </c>
      <c r="BI8" s="5" t="inlineStr">
        <is>
          <t>○</t>
        </is>
      </c>
      <c r="BJ8" s="6" t="inlineStr">
        <is>
          <t>○</t>
        </is>
      </c>
      <c r="BK8" s="5" t="inlineStr">
        <is>
          <t>○</t>
        </is>
      </c>
      <c r="BL8" s="24" t="inlineStr">
        <is>
          <t>裂痕</t>
        </is>
      </c>
      <c r="BM8" s="5" t="inlineStr">
        <is>
          <t>○</t>
        </is>
      </c>
      <c r="BN8" s="6" t="inlineStr">
        <is>
          <t>○</t>
        </is>
      </c>
      <c r="BO8" s="5" t="inlineStr">
        <is>
          <t>○</t>
        </is>
      </c>
    </row>
    <row r="9" ht="15.6" customHeight="1" s="72">
      <c r="A9" s="25" t="n"/>
      <c r="B9" s="78" t="n"/>
      <c r="C9" s="75" t="n"/>
      <c r="D9" s="25" t="n"/>
      <c r="E9" s="78" t="n"/>
      <c r="F9" s="75" t="n"/>
      <c r="G9" s="12" t="n"/>
      <c r="H9" s="89" t="n"/>
      <c r="I9" s="90" t="n"/>
      <c r="J9" s="90" t="n"/>
      <c r="K9" s="90" t="n"/>
      <c r="L9" s="90" t="n"/>
      <c r="M9" s="91" t="n"/>
      <c r="N9" s="12" t="n"/>
      <c r="O9" s="32" t="inlineStr">
        <is>
          <t>序号</t>
        </is>
      </c>
      <c r="P9" s="32" t="inlineStr">
        <is>
          <t>力量标签</t>
        </is>
      </c>
      <c r="Q9" s="73" t="n"/>
      <c r="R9" s="73" t="n"/>
      <c r="S9" s="73" t="n"/>
      <c r="T9" s="73" t="n"/>
      <c r="U9" s="74" t="n"/>
      <c r="V9" s="32" t="inlineStr">
        <is>
          <t>燃尽</t>
        </is>
      </c>
      <c r="W9" s="12" t="n"/>
      <c r="X9" s="31" t="inlineStr">
        <is>
          <t>序号</t>
        </is>
      </c>
      <c r="Y9" s="31" t="inlineStr">
        <is>
          <t>力量标签</t>
        </is>
      </c>
      <c r="Z9" s="73" t="n"/>
      <c r="AA9" s="73" t="n"/>
      <c r="AB9" s="73" t="n"/>
      <c r="AC9" s="73" t="n"/>
      <c r="AD9" s="74" t="n"/>
      <c r="AE9" s="31" t="inlineStr">
        <is>
          <t>燃尽</t>
        </is>
      </c>
      <c r="AF9" s="12" t="n"/>
      <c r="AG9" s="31" t="inlineStr">
        <is>
          <t>序号</t>
        </is>
      </c>
      <c r="AH9" s="31" t="inlineStr">
        <is>
          <t>力量标签</t>
        </is>
      </c>
      <c r="AI9" s="73" t="n"/>
      <c r="AJ9" s="73" t="n"/>
      <c r="AK9" s="73" t="n"/>
      <c r="AL9" s="73" t="n"/>
      <c r="AM9" s="74" t="n"/>
      <c r="AN9" s="31" t="inlineStr">
        <is>
          <t>燃尽</t>
        </is>
      </c>
      <c r="AO9" s="12" t="n"/>
      <c r="AP9" s="31" t="inlineStr">
        <is>
          <t>序号</t>
        </is>
      </c>
      <c r="AQ9" s="31" t="inlineStr">
        <is>
          <t>力量标签</t>
        </is>
      </c>
      <c r="AR9" s="73" t="n"/>
      <c r="AS9" s="73" t="n"/>
      <c r="AT9" s="73" t="n"/>
      <c r="AU9" s="73" t="n"/>
      <c r="AV9" s="74" t="n"/>
      <c r="AW9" s="31" t="inlineStr">
        <is>
          <t>燃尽</t>
        </is>
      </c>
      <c r="AX9" s="12" t="n"/>
      <c r="AY9" s="24" t="inlineStr">
        <is>
          <t>序号</t>
        </is>
      </c>
      <c r="AZ9" s="24" t="inlineStr">
        <is>
          <t>力量标签</t>
        </is>
      </c>
      <c r="BA9" s="73" t="n"/>
      <c r="BB9" s="73" t="n"/>
      <c r="BC9" s="73" t="n"/>
      <c r="BD9" s="73" t="n"/>
      <c r="BE9" s="74" t="n"/>
      <c r="BF9" s="24" t="inlineStr">
        <is>
          <t>燃尽</t>
        </is>
      </c>
      <c r="BG9" s="12" t="n"/>
      <c r="BH9" s="24" t="inlineStr">
        <is>
          <t>序号</t>
        </is>
      </c>
      <c r="BI9" s="24" t="inlineStr">
        <is>
          <t>力量标签</t>
        </is>
      </c>
      <c r="BJ9" s="73" t="n"/>
      <c r="BK9" s="73" t="n"/>
      <c r="BL9" s="73" t="n"/>
      <c r="BM9" s="73" t="n"/>
      <c r="BN9" s="74" t="n"/>
      <c r="BO9" s="24" t="inlineStr">
        <is>
          <t>燃尽</t>
        </is>
      </c>
    </row>
    <row r="10" ht="15" customHeight="1" s="72">
      <c r="A10" s="27" t="n"/>
      <c r="B10" s="78" t="n"/>
      <c r="C10" s="75" t="n"/>
      <c r="D10" s="27" t="n"/>
      <c r="E10" s="78" t="n"/>
      <c r="F10" s="75" t="n"/>
      <c r="G10" s="12" t="n"/>
      <c r="H10" s="89" t="n"/>
      <c r="I10" s="90" t="n"/>
      <c r="J10" s="90" t="n"/>
      <c r="K10" s="90" t="n"/>
      <c r="L10" s="90" t="n"/>
      <c r="M10" s="91" t="n"/>
      <c r="N10" s="12" t="n"/>
      <c r="O10" s="32" t="inlineStr">
        <is>
          <t>A</t>
        </is>
      </c>
      <c r="P10" s="25" t="inlineStr">
        <is>
          <t>这个关键事件给你留下了什么样的强烈情感？</t>
        </is>
      </c>
      <c r="Q10" s="78" t="n"/>
      <c r="R10" s="78" t="n"/>
      <c r="S10" s="78" t="n"/>
      <c r="T10" s="78" t="n"/>
      <c r="U10" s="75" t="n"/>
      <c r="V10" s="64" t="inlineStr">
        <is>
          <t>○</t>
        </is>
      </c>
      <c r="W10" s="12" t="n"/>
      <c r="X10" s="31" t="inlineStr">
        <is>
          <t>A</t>
        </is>
      </c>
      <c r="Y10" s="25" t="inlineStr">
        <is>
          <t>是什么神法能力让你能针对任意情况做出不同反应？</t>
        </is>
      </c>
      <c r="Z10" s="78" t="n"/>
      <c r="AA10" s="78" t="n"/>
      <c r="AB10" s="78" t="n"/>
      <c r="AC10" s="78" t="n"/>
      <c r="AD10" s="75" t="n"/>
      <c r="AE10" s="64" t="inlineStr">
        <is>
          <t>○</t>
        </is>
      </c>
      <c r="AF10" s="12" t="n"/>
      <c r="AG10" s="31" t="inlineStr">
        <is>
          <t>A</t>
        </is>
      </c>
      <c r="AH10" s="25" t="inlineStr">
        <is>
          <t>你的神法赋予你的什么品质或能力最能保护你？</t>
        </is>
      </c>
      <c r="AI10" s="78" t="n"/>
      <c r="AJ10" s="78" t="n"/>
      <c r="AK10" s="78" t="n"/>
      <c r="AL10" s="78" t="n"/>
      <c r="AM10" s="75" t="n"/>
      <c r="AN10" s="64" t="inlineStr">
        <is>
          <t>○</t>
        </is>
      </c>
      <c r="AO10" s="12" t="n"/>
      <c r="AP10" s="31" t="inlineStr">
        <is>
          <t>A</t>
        </is>
      </c>
      <c r="AQ10" s="25">
        <f>INDEX(数据!2:2,MATCH(角色卡!AR3,数据!1:1,0))</f>
        <v/>
      </c>
      <c r="AR10" s="78" t="n"/>
      <c r="AS10" s="78" t="n"/>
      <c r="AT10" s="78" t="n"/>
      <c r="AU10" s="78" t="n"/>
      <c r="AV10" s="75" t="n"/>
      <c r="AW10" s="64" t="inlineStr">
        <is>
          <t>○</t>
        </is>
      </c>
      <c r="AX10" s="12" t="n"/>
      <c r="AY10" s="24">
        <f>IFERROR(INDEX(数据!$A$2:$A$11,MATCH(AZ10,数据!$AE$2:$AE$11,0)),"")</f>
        <v/>
      </c>
      <c r="AZ10" s="25" t="n"/>
      <c r="BA10" s="78" t="n"/>
      <c r="BB10" s="78" t="n"/>
      <c r="BC10" s="78" t="n"/>
      <c r="BD10" s="78" t="n"/>
      <c r="BE10" s="75" t="n"/>
      <c r="BF10" s="64" t="inlineStr">
        <is>
          <t>○</t>
        </is>
      </c>
      <c r="BG10" s="12" t="n"/>
      <c r="BH10" s="24" t="inlineStr">
        <is>
          <t>A</t>
        </is>
      </c>
      <c r="BI10" s="25">
        <f>INDEX(数据!2:2,MATCH(角色卡!BJ3,数据!1:1,0))</f>
        <v/>
      </c>
      <c r="BJ10" s="78" t="n"/>
      <c r="BK10" s="78" t="n"/>
      <c r="BL10" s="78" t="n"/>
      <c r="BM10" s="78" t="n"/>
      <c r="BN10" s="75" t="n"/>
      <c r="BO10" s="64" t="inlineStr">
        <is>
          <t>○</t>
        </is>
      </c>
    </row>
    <row r="11" ht="15.6" customHeight="1" s="72">
      <c r="A11" s="24" t="inlineStr">
        <is>
          <t>状态</t>
        </is>
      </c>
      <c r="B11" s="73" t="n"/>
      <c r="C11" s="73" t="n"/>
      <c r="D11" s="73" t="n"/>
      <c r="E11" s="73" t="n"/>
      <c r="F11" s="74" t="n"/>
      <c r="G11" s="12" t="n"/>
      <c r="H11" s="89" t="n"/>
      <c r="I11" s="90" t="n"/>
      <c r="J11" s="90" t="n"/>
      <c r="K11" s="90" t="n"/>
      <c r="L11" s="90" t="n"/>
      <c r="M11" s="91" t="n"/>
      <c r="N11" s="12" t="n"/>
      <c r="O11" s="92" t="n"/>
      <c r="P11" s="27" t="inlineStr">
        <is>
          <t>【不灭的怒火】</t>
        </is>
      </c>
      <c r="Q11" s="78" t="n"/>
      <c r="R11" s="78" t="n"/>
      <c r="S11" s="78" t="n"/>
      <c r="T11" s="78" t="n"/>
      <c r="U11" s="75" t="n"/>
      <c r="V11" s="93" t="n"/>
      <c r="W11" s="12" t="n"/>
      <c r="X11" s="92" t="n"/>
      <c r="Y11" s="27" t="inlineStr">
        <is>
          <t>【随境而变的火】</t>
        </is>
      </c>
      <c r="Z11" s="78" t="n"/>
      <c r="AA11" s="78" t="n"/>
      <c r="AB11" s="78" t="n"/>
      <c r="AC11" s="78" t="n"/>
      <c r="AD11" s="75" t="n"/>
      <c r="AE11" s="93" t="n"/>
      <c r="AF11" s="12" t="n"/>
      <c r="AG11" s="92" t="n"/>
      <c r="AH11" s="27" t="inlineStr">
        <is>
          <t>【灰烬屏障】</t>
        </is>
      </c>
      <c r="AI11" s="78" t="n"/>
      <c r="AJ11" s="78" t="n"/>
      <c r="AK11" s="78" t="n"/>
      <c r="AL11" s="78" t="n"/>
      <c r="AM11" s="75" t="n"/>
      <c r="AN11" s="93" t="n"/>
      <c r="AO11" s="12" t="n"/>
      <c r="AP11" s="92" t="n"/>
      <c r="AQ11" s="27" t="n"/>
      <c r="AR11" s="78" t="n"/>
      <c r="AS11" s="78" t="n"/>
      <c r="AT11" s="78" t="n"/>
      <c r="AU11" s="78" t="n"/>
      <c r="AV11" s="75" t="n"/>
      <c r="AW11" s="93" t="n"/>
      <c r="AX11" s="12" t="n"/>
      <c r="AY11" s="92" t="n"/>
      <c r="AZ11" s="27" t="n"/>
      <c r="BA11" s="78" t="n"/>
      <c r="BB11" s="78" t="n"/>
      <c r="BC11" s="78" t="n"/>
      <c r="BD11" s="78" t="n"/>
      <c r="BE11" s="75" t="n"/>
      <c r="BF11" s="93" t="n"/>
      <c r="BG11" s="12" t="n"/>
      <c r="BH11" s="92" t="n"/>
      <c r="BI11" s="27" t="n"/>
      <c r="BJ11" s="78" t="n"/>
      <c r="BK11" s="78" t="n"/>
      <c r="BL11" s="78" t="n"/>
      <c r="BM11" s="78" t="n"/>
      <c r="BN11" s="75" t="n"/>
      <c r="BO11" s="93" t="n"/>
    </row>
    <row r="12" ht="15" customHeight="1" s="72">
      <c r="A12" s="25" t="n"/>
      <c r="B12" s="75" t="n"/>
      <c r="C12" s="25" t="n"/>
      <c r="D12" s="25" t="n"/>
      <c r="E12" s="75" t="n"/>
      <c r="F12" s="25" t="n"/>
      <c r="G12" s="12" t="n"/>
      <c r="H12" s="89" t="n"/>
      <c r="I12" s="90" t="n"/>
      <c r="J12" s="90" t="n"/>
      <c r="K12" s="90" t="n"/>
      <c r="L12" s="90" t="n"/>
      <c r="M12" s="91" t="n"/>
      <c r="N12" s="12" t="n"/>
      <c r="O12" s="32" t="inlineStr">
        <is>
          <t>B</t>
        </is>
      </c>
      <c r="P12" s="25" t="inlineStr">
        <is>
          <t>虽然已经发生了深刻的变化，但过去的你的哪一点仍然有助于你？</t>
        </is>
      </c>
      <c r="Q12" s="78" t="n"/>
      <c r="R12" s="78" t="n"/>
      <c r="S12" s="78" t="n"/>
      <c r="T12" s="78" t="n"/>
      <c r="U12" s="75" t="n"/>
      <c r="V12" s="65" t="inlineStr">
        <is>
          <t>○</t>
        </is>
      </c>
      <c r="W12" s="12" t="n"/>
      <c r="X12" s="31" t="inlineStr">
        <is>
          <t>B</t>
        </is>
      </c>
      <c r="Y12" s="25" t="inlineStr">
        <is>
          <t>在你的神法能力之中，你最精擅哪一细类的效果？</t>
        </is>
      </c>
      <c r="Z12" s="78" t="n"/>
      <c r="AA12" s="78" t="n"/>
      <c r="AB12" s="78" t="n"/>
      <c r="AC12" s="78" t="n"/>
      <c r="AD12" s="75" t="n"/>
      <c r="AE12" s="65" t="inlineStr">
        <is>
          <t>○</t>
        </is>
      </c>
      <c r="AF12" s="12" t="n"/>
      <c r="AG12" s="31" t="inlineStr">
        <is>
          <t>B</t>
        </is>
      </c>
      <c r="AH12" s="25" t="inlineStr">
        <is>
          <t>你有什么办法来保护他人？</t>
        </is>
      </c>
      <c r="AI12" s="78" t="n"/>
      <c r="AJ12" s="78" t="n"/>
      <c r="AK12" s="78" t="n"/>
      <c r="AL12" s="78" t="n"/>
      <c r="AM12" s="75" t="n"/>
      <c r="AN12" s="65" t="inlineStr">
        <is>
          <t>○</t>
        </is>
      </c>
      <c r="AO12" s="12" t="n"/>
      <c r="AP12" s="31">
        <f>IFERROR(INDEX(数据!$A$2:$A$11,MATCH(AQ12,OFFSET(数据!$B$2,0,MATCH(AR$3,数据!$B$1:$AB$1,0)-1,10),0)),"")</f>
        <v/>
      </c>
      <c r="AQ12" s="25" t="n"/>
      <c r="AR12" s="78" t="n"/>
      <c r="AS12" s="78" t="n"/>
      <c r="AT12" s="78" t="n"/>
      <c r="AU12" s="78" t="n"/>
      <c r="AV12" s="75" t="n"/>
      <c r="AW12" s="65" t="inlineStr">
        <is>
          <t>○</t>
        </is>
      </c>
      <c r="AX12" s="12" t="n"/>
      <c r="AY12" s="24">
        <f>IFERROR(INDEX(数据!$A$2:$A$11,MATCH(AZ12,数据!$AE$2:$AE$11,0)),"")</f>
        <v/>
      </c>
      <c r="AZ12" s="25" t="n"/>
      <c r="BA12" s="78" t="n"/>
      <c r="BB12" s="78" t="n"/>
      <c r="BC12" s="78" t="n"/>
      <c r="BD12" s="78" t="n"/>
      <c r="BE12" s="75" t="n"/>
      <c r="BF12" s="65" t="inlineStr">
        <is>
          <t>○</t>
        </is>
      </c>
      <c r="BG12" s="12" t="n"/>
      <c r="BH12" s="24">
        <f>IFERROR(INDEX(数据!$A$2:$A$11,MATCH(BI12,数据!$AE$2:$AE$11,0)),"")</f>
        <v/>
      </c>
      <c r="BI12" s="25" t="n"/>
      <c r="BJ12" s="78" t="n"/>
      <c r="BK12" s="78" t="n"/>
      <c r="BL12" s="78" t="n"/>
      <c r="BM12" s="78" t="n"/>
      <c r="BN12" s="75" t="n"/>
      <c r="BO12" s="65" t="inlineStr">
        <is>
          <t>○</t>
        </is>
      </c>
    </row>
    <row r="13" ht="15" customHeight="1" s="72">
      <c r="A13" s="27" t="n"/>
      <c r="B13" s="75" t="n"/>
      <c r="C13" s="27" t="n"/>
      <c r="D13" s="27" t="n"/>
      <c r="E13" s="75" t="n"/>
      <c r="F13" s="27" t="n"/>
      <c r="G13" s="12" t="n"/>
      <c r="H13" s="89" t="n"/>
      <c r="I13" s="90" t="n"/>
      <c r="J13" s="90" t="n"/>
      <c r="K13" s="90" t="n"/>
      <c r="L13" s="90" t="n"/>
      <c r="M13" s="91" t="n"/>
      <c r="N13" s="12" t="n"/>
      <c r="O13" s="92" t="n"/>
      <c r="P13" s="27" t="inlineStr">
        <is>
          <t>【保护弱小的本能】</t>
        </is>
      </c>
      <c r="Q13" s="78" t="n"/>
      <c r="R13" s="78" t="n"/>
      <c r="S13" s="78" t="n"/>
      <c r="T13" s="78" t="n"/>
      <c r="U13" s="75" t="n"/>
      <c r="V13" s="93" t="n"/>
      <c r="W13" s="12" t="n"/>
      <c r="X13" s="92" t="n"/>
      <c r="Y13" s="27" t="inlineStr">
        <is>
          <t>【火焰塑形】</t>
        </is>
      </c>
      <c r="Z13" s="78" t="n"/>
      <c r="AA13" s="78" t="n"/>
      <c r="AB13" s="78" t="n"/>
      <c r="AC13" s="78" t="n"/>
      <c r="AD13" s="75" t="n"/>
      <c r="AE13" s="93" t="n"/>
      <c r="AF13" s="12" t="n"/>
      <c r="AG13" s="92" t="n"/>
      <c r="AH13" s="27" t="inlineStr">
        <is>
          <t>【抗爆结构】</t>
        </is>
      </c>
      <c r="AI13" s="78" t="n"/>
      <c r="AJ13" s="78" t="n"/>
      <c r="AK13" s="78" t="n"/>
      <c r="AL13" s="78" t="n"/>
      <c r="AM13" s="75" t="n"/>
      <c r="AN13" s="93" t="n"/>
      <c r="AO13" s="12" t="n"/>
      <c r="AP13" s="92" t="n"/>
      <c r="AQ13" s="27" t="n"/>
      <c r="AR13" s="78" t="n"/>
      <c r="AS13" s="78" t="n"/>
      <c r="AT13" s="78" t="n"/>
      <c r="AU13" s="78" t="n"/>
      <c r="AV13" s="75" t="n"/>
      <c r="AW13" s="93" t="n"/>
      <c r="AX13" s="12" t="n"/>
      <c r="AY13" s="92" t="n"/>
      <c r="AZ13" s="27" t="n"/>
      <c r="BA13" s="78" t="n"/>
      <c r="BB13" s="78" t="n"/>
      <c r="BC13" s="78" t="n"/>
      <c r="BD13" s="78" t="n"/>
      <c r="BE13" s="75" t="n"/>
      <c r="BF13" s="93" t="n"/>
      <c r="BG13" s="12" t="n"/>
      <c r="BH13" s="92" t="n"/>
      <c r="BI13" s="27" t="n"/>
      <c r="BJ13" s="78" t="n"/>
      <c r="BK13" s="78" t="n"/>
      <c r="BL13" s="78" t="n"/>
      <c r="BM13" s="78" t="n"/>
      <c r="BN13" s="75" t="n"/>
      <c r="BO13" s="93" t="n"/>
    </row>
    <row r="14" ht="15" customHeight="1" s="72">
      <c r="A14" s="25" t="n"/>
      <c r="B14" s="75" t="n"/>
      <c r="C14" s="25" t="n"/>
      <c r="D14" s="25" t="n"/>
      <c r="E14" s="75" t="n"/>
      <c r="F14" s="25" t="n"/>
      <c r="G14" s="12" t="n"/>
      <c r="H14" s="89" t="n"/>
      <c r="I14" s="90" t="n"/>
      <c r="J14" s="90" t="n"/>
      <c r="K14" s="90" t="n"/>
      <c r="L14" s="90" t="n"/>
      <c r="M14" s="91" t="n"/>
      <c r="N14" s="12" t="n"/>
      <c r="O14" s="32" t="inlineStr">
        <is>
          <t>C</t>
        </is>
      </c>
      <c r="P14" s="25" t="inlineStr">
        <is>
          <t>在关键事件中，你获得了什么平凡但有用的东西，并且这个东西一直陪伴着你？</t>
        </is>
      </c>
      <c r="Q14" s="78" t="n"/>
      <c r="R14" s="78" t="n"/>
      <c r="S14" s="78" t="n"/>
      <c r="T14" s="78" t="n"/>
      <c r="U14" s="75" t="n"/>
      <c r="V14" s="64" t="inlineStr">
        <is>
          <t>○</t>
        </is>
      </c>
      <c r="W14" s="12" t="n"/>
      <c r="X14" s="31" t="inlineStr">
        <is>
          <t>C</t>
        </is>
      </c>
      <c r="Y14" s="25" t="inlineStr">
        <is>
          <t>你最喜欢神法的哪种具体表现形式？</t>
        </is>
      </c>
      <c r="Z14" s="78" t="n"/>
      <c r="AA14" s="78" t="n"/>
      <c r="AB14" s="78" t="n"/>
      <c r="AC14" s="78" t="n"/>
      <c r="AD14" s="75" t="n"/>
      <c r="AE14" s="64" t="inlineStr">
        <is>
          <t>○</t>
        </is>
      </c>
      <c r="AF14" s="12" t="n"/>
      <c r="AG14" s="31">
        <f>IFERROR(INDEX(数据!$A$2:$A$11,MATCH(AH14,OFFSET(数据!$B$2,0,MATCH(AI$3,数据!$B$1:$AB$1,0)-1,10),0)),"")</f>
        <v/>
      </c>
      <c r="AH14" s="25" t="n"/>
      <c r="AI14" s="78" t="n"/>
      <c r="AJ14" s="78" t="n"/>
      <c r="AK14" s="78" t="n"/>
      <c r="AL14" s="78" t="n"/>
      <c r="AM14" s="75" t="n"/>
      <c r="AN14" s="64" t="inlineStr">
        <is>
          <t>○</t>
        </is>
      </c>
      <c r="AO14" s="12" t="n"/>
      <c r="AP14" s="31">
        <f>IFERROR(INDEX(数据!$A$2:$A$11,MATCH(AQ14,OFFSET(数据!$B$2,0,MATCH(AR$3,数据!$B$1:$AB$1,0)-1,10),0)),"")</f>
        <v/>
      </c>
      <c r="AQ14" s="25" t="n"/>
      <c r="AR14" s="78" t="n"/>
      <c r="AS14" s="78" t="n"/>
      <c r="AT14" s="78" t="n"/>
      <c r="AU14" s="78" t="n"/>
      <c r="AV14" s="75" t="n"/>
      <c r="AW14" s="64" t="inlineStr">
        <is>
          <t>○</t>
        </is>
      </c>
      <c r="AX14" s="12" t="n"/>
      <c r="AY14" s="24">
        <f>IFERROR(INDEX(数据!$A$2:$A$11,MATCH(AZ14,数据!$AE$2:$AE$11,0)),"")</f>
        <v/>
      </c>
      <c r="AZ14" s="25" t="n"/>
      <c r="BA14" s="78" t="n"/>
      <c r="BB14" s="78" t="n"/>
      <c r="BC14" s="78" t="n"/>
      <c r="BD14" s="78" t="n"/>
      <c r="BE14" s="75" t="n"/>
      <c r="BF14" s="64" t="inlineStr">
        <is>
          <t>○</t>
        </is>
      </c>
      <c r="BG14" s="12" t="n"/>
      <c r="BH14" s="24">
        <f>IFERROR(INDEX(数据!$A$2:$A$11,MATCH(BI14,数据!$AE$2:$AE$11,0)),"")</f>
        <v/>
      </c>
      <c r="BI14" s="25" t="n"/>
      <c r="BJ14" s="78" t="n"/>
      <c r="BK14" s="78" t="n"/>
      <c r="BL14" s="78" t="n"/>
      <c r="BM14" s="78" t="n"/>
      <c r="BN14" s="75" t="n"/>
      <c r="BO14" s="64" t="inlineStr">
        <is>
          <t>○</t>
        </is>
      </c>
    </row>
    <row r="15" ht="15" customHeight="1" s="72">
      <c r="A15" s="27" t="n"/>
      <c r="B15" s="75" t="n"/>
      <c r="C15" s="27" t="n"/>
      <c r="D15" s="27" t="n"/>
      <c r="E15" s="75" t="n"/>
      <c r="F15" s="27" t="n"/>
      <c r="G15" s="12" t="n"/>
      <c r="H15" s="89" t="n"/>
      <c r="I15" s="90" t="n"/>
      <c r="J15" s="90" t="n"/>
      <c r="K15" s="90" t="n"/>
      <c r="L15" s="90" t="n"/>
      <c r="M15" s="91" t="n"/>
      <c r="N15" s="12" t="n"/>
      <c r="O15" s="92" t="n"/>
      <c r="P15" s="27" t="inlineStr">
        <is>
          <t>【烧焦却仍能用的旧钥匙】</t>
        </is>
      </c>
      <c r="Q15" s="78" t="n"/>
      <c r="R15" s="78" t="n"/>
      <c r="S15" s="78" t="n"/>
      <c r="T15" s="78" t="n"/>
      <c r="U15" s="75" t="n"/>
      <c r="V15" s="93" t="n"/>
      <c r="W15" s="12" t="n"/>
      <c r="X15" s="92" t="n"/>
      <c r="Y15" s="27" t="inlineStr">
        <is>
          <t>【火舌化形】</t>
        </is>
      </c>
      <c r="Z15" s="78" t="n"/>
      <c r="AA15" s="78" t="n"/>
      <c r="AB15" s="78" t="n"/>
      <c r="AC15" s="78" t="n"/>
      <c r="AD15" s="75" t="n"/>
      <c r="AE15" s="93" t="n"/>
      <c r="AF15" s="12" t="n"/>
      <c r="AG15" s="92" t="n"/>
      <c r="AH15" s="27" t="n"/>
      <c r="AI15" s="78" t="n"/>
      <c r="AJ15" s="78" t="n"/>
      <c r="AK15" s="78" t="n"/>
      <c r="AL15" s="78" t="n"/>
      <c r="AM15" s="75" t="n"/>
      <c r="AN15" s="93" t="n"/>
      <c r="AO15" s="12" t="n"/>
      <c r="AP15" s="92" t="n"/>
      <c r="AQ15" s="27" t="n"/>
      <c r="AR15" s="78" t="n"/>
      <c r="AS15" s="78" t="n"/>
      <c r="AT15" s="78" t="n"/>
      <c r="AU15" s="78" t="n"/>
      <c r="AV15" s="75" t="n"/>
      <c r="AW15" s="93" t="n"/>
      <c r="AX15" s="12" t="n"/>
      <c r="AY15" s="92" t="n"/>
      <c r="AZ15" s="27" t="n"/>
      <c r="BA15" s="78" t="n"/>
      <c r="BB15" s="78" t="n"/>
      <c r="BC15" s="78" t="n"/>
      <c r="BD15" s="78" t="n"/>
      <c r="BE15" s="75" t="n"/>
      <c r="BF15" s="93" t="n"/>
      <c r="BG15" s="12" t="n"/>
      <c r="BH15" s="92" t="n"/>
      <c r="BI15" s="27" t="n"/>
      <c r="BJ15" s="78" t="n"/>
      <c r="BK15" s="78" t="n"/>
      <c r="BL15" s="78" t="n"/>
      <c r="BM15" s="78" t="n"/>
      <c r="BN15" s="75" t="n"/>
      <c r="BO15" s="93" t="n"/>
    </row>
    <row r="16" ht="15" customHeight="1" s="72">
      <c r="A16" s="24" t="inlineStr">
        <is>
          <t>团队成员</t>
        </is>
      </c>
      <c r="B16" s="73" t="n"/>
      <c r="C16" s="73" t="n"/>
      <c r="D16" s="74" t="n"/>
      <c r="E16" s="24" t="inlineStr">
        <is>
          <t>帮助</t>
        </is>
      </c>
      <c r="F16" s="24" t="inlineStr">
        <is>
          <t>伤害</t>
        </is>
      </c>
      <c r="G16" s="12" t="n"/>
      <c r="H16" s="89" t="n"/>
      <c r="I16" s="90" t="n"/>
      <c r="J16" s="90" t="n"/>
      <c r="K16" s="90" t="n"/>
      <c r="L16" s="90" t="n"/>
      <c r="M16" s="91" t="n"/>
      <c r="N16" s="12" t="n"/>
      <c r="O16" s="32">
        <f>IFERROR(INDEX(数据!$A$2:$A$11,MATCH(P16,OFFSET(数据!$B$2,0,MATCH(Q$3,数据!$B$1:$AB$1,0)-1,10),0)),"")</f>
        <v/>
      </c>
      <c r="P16" s="25" t="n"/>
      <c r="Q16" s="78" t="n"/>
      <c r="R16" s="78" t="n"/>
      <c r="S16" s="78" t="n"/>
      <c r="T16" s="78" t="n"/>
      <c r="U16" s="75" t="n"/>
      <c r="V16" s="65" t="inlineStr">
        <is>
          <t>○</t>
        </is>
      </c>
      <c r="W16" s="12" t="n"/>
      <c r="X16" s="31">
        <f>IFERROR(INDEX(数据!$A$2:$A$11,MATCH(Y16,OFFSET(数据!$B$2,0,MATCH(Z$3,数据!$B$1:$AB$1,0)-1,10),0)),"")</f>
        <v/>
      </c>
      <c r="Y16" s="25" t="n"/>
      <c r="Z16" s="78" t="n"/>
      <c r="AA16" s="78" t="n"/>
      <c r="AB16" s="78" t="n"/>
      <c r="AC16" s="78" t="n"/>
      <c r="AD16" s="75" t="n"/>
      <c r="AE16" s="65" t="inlineStr">
        <is>
          <t>○</t>
        </is>
      </c>
      <c r="AF16" s="12" t="n"/>
      <c r="AG16" s="31">
        <f>IFERROR(INDEX(数据!$A$2:$A$11,MATCH(AH16,OFFSET(数据!$B$2,0,MATCH(AI$3,数据!$B$1:$AB$1,0)-1,10),0)),"")</f>
        <v/>
      </c>
      <c r="AH16" s="25" t="n"/>
      <c r="AI16" s="78" t="n"/>
      <c r="AJ16" s="78" t="n"/>
      <c r="AK16" s="78" t="n"/>
      <c r="AL16" s="78" t="n"/>
      <c r="AM16" s="75" t="n"/>
      <c r="AN16" s="65" t="inlineStr">
        <is>
          <t>○</t>
        </is>
      </c>
      <c r="AO16" s="12" t="n"/>
      <c r="AP16" s="31">
        <f>IFERROR(INDEX(数据!$A$2:$A$11,MATCH(AQ16,OFFSET(数据!$B$2,0,MATCH(AR$3,数据!$B$1:$AB$1,0)-1,10),0)),"")</f>
        <v/>
      </c>
      <c r="AQ16" s="25" t="n"/>
      <c r="AR16" s="78" t="n"/>
      <c r="AS16" s="78" t="n"/>
      <c r="AT16" s="78" t="n"/>
      <c r="AU16" s="78" t="n"/>
      <c r="AV16" s="75" t="n"/>
      <c r="AW16" s="65" t="inlineStr">
        <is>
          <t>○</t>
        </is>
      </c>
      <c r="AX16" s="12" t="n"/>
      <c r="AY16" s="24">
        <f>IFERROR(INDEX(数据!$A$2:$A$11,MATCH(AZ16,数据!$AE$2:$AE$11,0)),"")</f>
        <v/>
      </c>
      <c r="AZ16" s="25" t="n"/>
      <c r="BA16" s="78" t="n"/>
      <c r="BB16" s="78" t="n"/>
      <c r="BC16" s="78" t="n"/>
      <c r="BD16" s="78" t="n"/>
      <c r="BE16" s="75" t="n"/>
      <c r="BF16" s="65" t="inlineStr">
        <is>
          <t>○</t>
        </is>
      </c>
      <c r="BG16" s="12" t="n"/>
      <c r="BH16" s="24">
        <f>IFERROR(INDEX(数据!$A$2:$A$11,MATCH(BI16,数据!$AE$2:$AE$11,0)),"")</f>
        <v/>
      </c>
      <c r="BI16" s="25" t="n"/>
      <c r="BJ16" s="78" t="n"/>
      <c r="BK16" s="78" t="n"/>
      <c r="BL16" s="78" t="n"/>
      <c r="BM16" s="78" t="n"/>
      <c r="BN16" s="75" t="n"/>
      <c r="BO16" s="65" t="inlineStr">
        <is>
          <t>○</t>
        </is>
      </c>
    </row>
    <row r="17" ht="15" customHeight="1" s="72">
      <c r="A17" s="25" t="n"/>
      <c r="B17" s="78" t="n"/>
      <c r="C17" s="78" t="n"/>
      <c r="D17" s="75" t="n"/>
      <c r="E17" s="25" t="n"/>
      <c r="F17" s="25" t="n"/>
      <c r="G17" s="12" t="n"/>
      <c r="H17" s="87" t="n"/>
      <c r="I17" s="94" t="n"/>
      <c r="J17" s="94" t="n"/>
      <c r="K17" s="94" t="n"/>
      <c r="L17" s="94" t="n"/>
      <c r="M17" s="88" t="n"/>
      <c r="N17" s="12" t="n"/>
      <c r="O17" s="92" t="n"/>
      <c r="P17" s="27" t="n"/>
      <c r="Q17" s="78" t="n"/>
      <c r="R17" s="78" t="n"/>
      <c r="S17" s="78" t="n"/>
      <c r="T17" s="78" t="n"/>
      <c r="U17" s="75" t="n"/>
      <c r="V17" s="93" t="n"/>
      <c r="W17" s="12" t="n"/>
      <c r="X17" s="92" t="n"/>
      <c r="Y17" s="27" t="n"/>
      <c r="Z17" s="78" t="n"/>
      <c r="AA17" s="78" t="n"/>
      <c r="AB17" s="78" t="n"/>
      <c r="AC17" s="78" t="n"/>
      <c r="AD17" s="75" t="n"/>
      <c r="AE17" s="93" t="n"/>
      <c r="AF17" s="12" t="n"/>
      <c r="AG17" s="92" t="n"/>
      <c r="AH17" s="27" t="n"/>
      <c r="AI17" s="78" t="n"/>
      <c r="AJ17" s="78" t="n"/>
      <c r="AK17" s="78" t="n"/>
      <c r="AL17" s="78" t="n"/>
      <c r="AM17" s="75" t="n"/>
      <c r="AN17" s="93" t="n"/>
      <c r="AO17" s="12" t="n"/>
      <c r="AP17" s="92" t="n"/>
      <c r="AQ17" s="27" t="n"/>
      <c r="AR17" s="78" t="n"/>
      <c r="AS17" s="78" t="n"/>
      <c r="AT17" s="78" t="n"/>
      <c r="AU17" s="78" t="n"/>
      <c r="AV17" s="75" t="n"/>
      <c r="AW17" s="93" t="n"/>
      <c r="AX17" s="12" t="n"/>
      <c r="AY17" s="92" t="n"/>
      <c r="AZ17" s="27" t="n"/>
      <c r="BA17" s="78" t="n"/>
      <c r="BB17" s="78" t="n"/>
      <c r="BC17" s="78" t="n"/>
      <c r="BD17" s="78" t="n"/>
      <c r="BE17" s="75" t="n"/>
      <c r="BF17" s="93" t="n"/>
      <c r="BG17" s="12" t="n"/>
      <c r="BH17" s="92" t="n"/>
      <c r="BI17" s="27" t="n"/>
      <c r="BJ17" s="78" t="n"/>
      <c r="BK17" s="78" t="n"/>
      <c r="BL17" s="78" t="n"/>
      <c r="BM17" s="78" t="n"/>
      <c r="BN17" s="75" t="n"/>
      <c r="BO17" s="93" t="n"/>
    </row>
    <row r="18" ht="15.6" customHeight="1" s="72">
      <c r="A18" s="27" t="n"/>
      <c r="B18" s="78" t="n"/>
      <c r="C18" s="78" t="n"/>
      <c r="D18" s="75" t="n"/>
      <c r="E18" s="27" t="n"/>
      <c r="F18" s="27" t="n"/>
      <c r="G18" s="13" t="n"/>
      <c r="H18" s="24" t="inlineStr">
        <is>
          <t>立绘</t>
        </is>
      </c>
      <c r="I18" s="73" t="n"/>
      <c r="J18" s="73" t="n"/>
      <c r="K18" s="73" t="n"/>
      <c r="L18" s="73" t="n"/>
      <c r="M18" s="74" t="n"/>
      <c r="N18" s="13" t="n"/>
      <c r="O18" s="32">
        <f>IFERROR(INDEX(数据!$A$2:$A$11,MATCH(P18,OFFSET(数据!$B$2,0,MATCH(Q$3,数据!$B$1:$AB$1,0)-1,10),0)),"")</f>
        <v/>
      </c>
      <c r="P18" s="25" t="n"/>
      <c r="Q18" s="78" t="n"/>
      <c r="R18" s="78" t="n"/>
      <c r="S18" s="78" t="n"/>
      <c r="T18" s="78" t="n"/>
      <c r="U18" s="75" t="n"/>
      <c r="V18" s="64" t="inlineStr">
        <is>
          <t>○</t>
        </is>
      </c>
      <c r="W18" s="13" t="n"/>
      <c r="X18" s="31">
        <f>IFERROR(INDEX(数据!$A$2:$A$11,MATCH(Y18,OFFSET(数据!$B$2,0,MATCH(Z$3,数据!$B$1:$AB$1,0)-1,10),0)),"")</f>
        <v/>
      </c>
      <c r="Y18" s="25" t="n"/>
      <c r="Z18" s="78" t="n"/>
      <c r="AA18" s="78" t="n"/>
      <c r="AB18" s="78" t="n"/>
      <c r="AC18" s="78" t="n"/>
      <c r="AD18" s="75" t="n"/>
      <c r="AE18" s="64" t="inlineStr">
        <is>
          <t>○</t>
        </is>
      </c>
      <c r="AF18" s="13" t="n"/>
      <c r="AG18" s="31">
        <f>IFERROR(INDEX(数据!$A$2:$A$11,MATCH(AH18,OFFSET(数据!$B$2,0,MATCH(AI$3,数据!$B$1:$AB$1,0)-1,10),0)),"")</f>
        <v/>
      </c>
      <c r="AH18" s="25" t="n"/>
      <c r="AI18" s="78" t="n"/>
      <c r="AJ18" s="78" t="n"/>
      <c r="AK18" s="78" t="n"/>
      <c r="AL18" s="78" t="n"/>
      <c r="AM18" s="75" t="n"/>
      <c r="AN18" s="64" t="inlineStr">
        <is>
          <t>○</t>
        </is>
      </c>
      <c r="AO18" s="13" t="n"/>
      <c r="AP18" s="31">
        <f>IFERROR(INDEX(数据!$A$2:$A$11,MATCH(AQ18,OFFSET(数据!$B$2,0,MATCH(AR$3,数据!$B$1:$AB$1,0)-1,10),0)),"")</f>
        <v/>
      </c>
      <c r="AQ18" s="25" t="n"/>
      <c r="AR18" s="78" t="n"/>
      <c r="AS18" s="78" t="n"/>
      <c r="AT18" s="78" t="n"/>
      <c r="AU18" s="78" t="n"/>
      <c r="AV18" s="75" t="n"/>
      <c r="AW18" s="64" t="inlineStr">
        <is>
          <t>○</t>
        </is>
      </c>
      <c r="AX18" s="13" t="n"/>
      <c r="AY18" s="24">
        <f>IFERROR(INDEX(数据!$A$2:$A$11,MATCH(AZ18,数据!$AE$2:$AE$11,0)),"")</f>
        <v/>
      </c>
      <c r="AZ18" s="25" t="n"/>
      <c r="BA18" s="78" t="n"/>
      <c r="BB18" s="78" t="n"/>
      <c r="BC18" s="78" t="n"/>
      <c r="BD18" s="78" t="n"/>
      <c r="BE18" s="75" t="n"/>
      <c r="BF18" s="64" t="inlineStr">
        <is>
          <t>○</t>
        </is>
      </c>
      <c r="BG18" s="13" t="n"/>
      <c r="BH18" s="24">
        <f>IFERROR(INDEX(数据!$A$2:$A$11,MATCH(BI18,数据!$AE$2:$AE$11,0)),"")</f>
        <v/>
      </c>
      <c r="BI18" s="25" t="n"/>
      <c r="BJ18" s="78" t="n"/>
      <c r="BK18" s="78" t="n"/>
      <c r="BL18" s="78" t="n"/>
      <c r="BM18" s="78" t="n"/>
      <c r="BN18" s="75" t="n"/>
      <c r="BO18" s="64" t="inlineStr">
        <is>
          <t>○</t>
        </is>
      </c>
    </row>
    <row r="19" ht="15" customHeight="1" s="72">
      <c r="A19" s="25" t="n"/>
      <c r="B19" s="78" t="n"/>
      <c r="C19" s="78" t="n"/>
      <c r="D19" s="75" t="n"/>
      <c r="E19" s="25" t="n"/>
      <c r="F19" s="25" t="n"/>
      <c r="G19" s="14" t="n"/>
      <c r="H19" s="27" t="n"/>
      <c r="I19" s="76" t="n"/>
      <c r="J19" s="76" t="n"/>
      <c r="K19" s="76" t="n"/>
      <c r="L19" s="76" t="n"/>
      <c r="M19" s="77" t="n"/>
      <c r="N19" s="14" t="n"/>
      <c r="O19" s="92" t="n"/>
      <c r="P19" s="27" t="n"/>
      <c r="Q19" s="78" t="n"/>
      <c r="R19" s="78" t="n"/>
      <c r="S19" s="78" t="n"/>
      <c r="T19" s="78" t="n"/>
      <c r="U19" s="75" t="n"/>
      <c r="V19" s="93" t="n"/>
      <c r="W19" s="14" t="n"/>
      <c r="X19" s="92" t="n"/>
      <c r="Y19" s="27" t="n"/>
      <c r="Z19" s="78" t="n"/>
      <c r="AA19" s="78" t="n"/>
      <c r="AB19" s="78" t="n"/>
      <c r="AC19" s="78" t="n"/>
      <c r="AD19" s="75" t="n"/>
      <c r="AE19" s="93" t="n"/>
      <c r="AF19" s="14" t="n"/>
      <c r="AG19" s="92" t="n"/>
      <c r="AH19" s="27" t="n"/>
      <c r="AI19" s="78" t="n"/>
      <c r="AJ19" s="78" t="n"/>
      <c r="AK19" s="78" t="n"/>
      <c r="AL19" s="78" t="n"/>
      <c r="AM19" s="75" t="n"/>
      <c r="AN19" s="93" t="n"/>
      <c r="AO19" s="14" t="n"/>
      <c r="AP19" s="92" t="n"/>
      <c r="AQ19" s="27" t="n"/>
      <c r="AR19" s="78" t="n"/>
      <c r="AS19" s="78" t="n"/>
      <c r="AT19" s="78" t="n"/>
      <c r="AU19" s="78" t="n"/>
      <c r="AV19" s="75" t="n"/>
      <c r="AW19" s="93" t="n"/>
      <c r="AX19" s="14" t="n"/>
      <c r="AY19" s="92" t="n"/>
      <c r="AZ19" s="27" t="n"/>
      <c r="BA19" s="78" t="n"/>
      <c r="BB19" s="78" t="n"/>
      <c r="BC19" s="78" t="n"/>
      <c r="BD19" s="78" t="n"/>
      <c r="BE19" s="75" t="n"/>
      <c r="BF19" s="93" t="n"/>
      <c r="BG19" s="14" t="n"/>
      <c r="BH19" s="92" t="n"/>
      <c r="BI19" s="27" t="n"/>
      <c r="BJ19" s="78" t="n"/>
      <c r="BK19" s="78" t="n"/>
      <c r="BL19" s="78" t="n"/>
      <c r="BM19" s="78" t="n"/>
      <c r="BN19" s="75" t="n"/>
      <c r="BO19" s="93" t="n"/>
    </row>
    <row r="20" ht="15" customHeight="1" s="72">
      <c r="A20" s="27" t="n"/>
      <c r="B20" s="78" t="n"/>
      <c r="C20" s="78" t="n"/>
      <c r="D20" s="75" t="n"/>
      <c r="E20" s="27" t="n"/>
      <c r="F20" s="27" t="n"/>
      <c r="G20" s="14" t="n"/>
      <c r="H20" s="79" t="n"/>
      <c r="I20" s="80" t="n"/>
      <c r="J20" s="80" t="n"/>
      <c r="K20" s="80" t="n"/>
      <c r="L20" s="80" t="n"/>
      <c r="M20" s="81" t="n"/>
      <c r="N20" s="14" t="n"/>
      <c r="O20" s="32">
        <f>IFERROR(INDEX(数据!$A$2:$A$11,MATCH(P20,OFFSET(数据!$B$2,0,MATCH(Q$3,数据!$B$1:$AB$1,0)-1,10),0)),"")</f>
        <v/>
      </c>
      <c r="P20" s="25" t="n"/>
      <c r="Q20" s="78" t="n"/>
      <c r="R20" s="78" t="n"/>
      <c r="S20" s="78" t="n"/>
      <c r="T20" s="78" t="n"/>
      <c r="U20" s="75" t="n"/>
      <c r="V20" s="65" t="inlineStr">
        <is>
          <t>○</t>
        </is>
      </c>
      <c r="W20" s="14" t="n"/>
      <c r="X20" s="31">
        <f>IFERROR(INDEX(数据!$A$2:$A$11,MATCH(Y20,OFFSET(数据!$B$2,0,MATCH(Z$3,数据!$B$1:$AB$1,0)-1,10),0)),"")</f>
        <v/>
      </c>
      <c r="Y20" s="25" t="n"/>
      <c r="Z20" s="78" t="n"/>
      <c r="AA20" s="78" t="n"/>
      <c r="AB20" s="78" t="n"/>
      <c r="AC20" s="78" t="n"/>
      <c r="AD20" s="75" t="n"/>
      <c r="AE20" s="65" t="inlineStr">
        <is>
          <t>○</t>
        </is>
      </c>
      <c r="AF20" s="14" t="n"/>
      <c r="AG20" s="31">
        <f>IFERROR(INDEX(数据!$A$2:$A$11,MATCH(AH20,OFFSET(数据!$B$2,0,MATCH(AI$3,数据!$B$1:$AB$1,0)-1,10),0)),"")</f>
        <v/>
      </c>
      <c r="AH20" s="25" t="n"/>
      <c r="AI20" s="78" t="n"/>
      <c r="AJ20" s="78" t="n"/>
      <c r="AK20" s="78" t="n"/>
      <c r="AL20" s="78" t="n"/>
      <c r="AM20" s="75" t="n"/>
      <c r="AN20" s="65" t="inlineStr">
        <is>
          <t>○</t>
        </is>
      </c>
      <c r="AO20" s="14" t="n"/>
      <c r="AP20" s="31">
        <f>IFERROR(INDEX(数据!$A$2:$A$11,MATCH(AQ20,OFFSET(数据!$B$2,0,MATCH(AR$3,数据!$B$1:$AB$1,0)-1,10),0)),"")</f>
        <v/>
      </c>
      <c r="AQ20" s="25" t="n"/>
      <c r="AR20" s="78" t="n"/>
      <c r="AS20" s="78" t="n"/>
      <c r="AT20" s="78" t="n"/>
      <c r="AU20" s="78" t="n"/>
      <c r="AV20" s="75" t="n"/>
      <c r="AW20" s="65" t="inlineStr">
        <is>
          <t>○</t>
        </is>
      </c>
      <c r="AX20" s="14" t="n"/>
      <c r="AY20" s="24">
        <f>IFERROR(INDEX(数据!$A$2:$A$11,MATCH(AZ20,数据!$AE$2:$AE$11,0)),"")</f>
        <v/>
      </c>
      <c r="AZ20" s="25" t="n"/>
      <c r="BA20" s="78" t="n"/>
      <c r="BB20" s="78" t="n"/>
      <c r="BC20" s="78" t="n"/>
      <c r="BD20" s="78" t="n"/>
      <c r="BE20" s="75" t="n"/>
      <c r="BF20" s="65" t="inlineStr">
        <is>
          <t>○</t>
        </is>
      </c>
      <c r="BG20" s="14" t="n"/>
      <c r="BH20" s="24">
        <f>IFERROR(INDEX(数据!$A$2:$A$11,MATCH(BI20,数据!$AE$2:$AE$11,0)),"")</f>
        <v/>
      </c>
      <c r="BI20" s="25" t="n"/>
      <c r="BJ20" s="78" t="n"/>
      <c r="BK20" s="78" t="n"/>
      <c r="BL20" s="78" t="n"/>
      <c r="BM20" s="78" t="n"/>
      <c r="BN20" s="75" t="n"/>
      <c r="BO20" s="65" t="inlineStr">
        <is>
          <t>○</t>
        </is>
      </c>
    </row>
    <row r="21" ht="15.6" customHeight="1" s="72">
      <c r="A21" s="25" t="n"/>
      <c r="B21" s="78" t="n"/>
      <c r="C21" s="78" t="n"/>
      <c r="D21" s="75" t="n"/>
      <c r="E21" s="25" t="n"/>
      <c r="F21" s="25" t="n"/>
      <c r="G21" s="13" t="n"/>
      <c r="H21" s="79" t="n"/>
      <c r="I21" s="80" t="n"/>
      <c r="J21" s="80" t="n"/>
      <c r="K21" s="80" t="n"/>
      <c r="L21" s="80" t="n"/>
      <c r="M21" s="81" t="n"/>
      <c r="N21" s="13" t="n"/>
      <c r="O21" s="92" t="n"/>
      <c r="P21" s="27" t="n"/>
      <c r="Q21" s="78" t="n"/>
      <c r="R21" s="78" t="n"/>
      <c r="S21" s="78" t="n"/>
      <c r="T21" s="78" t="n"/>
      <c r="U21" s="75" t="n"/>
      <c r="V21" s="93" t="n"/>
      <c r="W21" s="13" t="n"/>
      <c r="X21" s="92" t="n"/>
      <c r="Y21" s="27" t="n"/>
      <c r="Z21" s="78" t="n"/>
      <c r="AA21" s="78" t="n"/>
      <c r="AB21" s="78" t="n"/>
      <c r="AC21" s="78" t="n"/>
      <c r="AD21" s="75" t="n"/>
      <c r="AE21" s="93" t="n"/>
      <c r="AF21" s="13" t="n"/>
      <c r="AG21" s="92" t="n"/>
      <c r="AH21" s="27" t="n"/>
      <c r="AI21" s="78" t="n"/>
      <c r="AJ21" s="78" t="n"/>
      <c r="AK21" s="78" t="n"/>
      <c r="AL21" s="78" t="n"/>
      <c r="AM21" s="75" t="n"/>
      <c r="AN21" s="93" t="n"/>
      <c r="AO21" s="13" t="n"/>
      <c r="AP21" s="92" t="n"/>
      <c r="AQ21" s="27" t="n"/>
      <c r="AR21" s="78" t="n"/>
      <c r="AS21" s="78" t="n"/>
      <c r="AT21" s="78" t="n"/>
      <c r="AU21" s="78" t="n"/>
      <c r="AV21" s="75" t="n"/>
      <c r="AW21" s="93" t="n"/>
      <c r="AX21" s="13" t="n"/>
      <c r="AY21" s="92" t="n"/>
      <c r="AZ21" s="27" t="n"/>
      <c r="BA21" s="78" t="n"/>
      <c r="BB21" s="78" t="n"/>
      <c r="BC21" s="78" t="n"/>
      <c r="BD21" s="78" t="n"/>
      <c r="BE21" s="75" t="n"/>
      <c r="BF21" s="93" t="n"/>
      <c r="BG21" s="13" t="n"/>
      <c r="BH21" s="92" t="n"/>
      <c r="BI21" s="27" t="n"/>
      <c r="BJ21" s="78" t="n"/>
      <c r="BK21" s="78" t="n"/>
      <c r="BL21" s="78" t="n"/>
      <c r="BM21" s="78" t="n"/>
      <c r="BN21" s="75" t="n"/>
      <c r="BO21" s="93" t="n"/>
    </row>
    <row r="22" ht="15.6" customHeight="1" s="72">
      <c r="A22" s="27" t="n"/>
      <c r="B22" s="78" t="n"/>
      <c r="C22" s="78" t="n"/>
      <c r="D22" s="75" t="n"/>
      <c r="E22" s="27" t="n"/>
      <c r="F22" s="27" t="n"/>
      <c r="G22" s="14" t="n"/>
      <c r="H22" s="79" t="n"/>
      <c r="I22" s="80" t="n"/>
      <c r="J22" s="80" t="n"/>
      <c r="K22" s="80" t="n"/>
      <c r="L22" s="80" t="n"/>
      <c r="M22" s="81" t="n"/>
      <c r="N22" s="14" t="n"/>
      <c r="O22" s="32" t="inlineStr">
        <is>
          <t>序号</t>
        </is>
      </c>
      <c r="P22" s="32" t="inlineStr">
        <is>
          <t>弱点标签</t>
        </is>
      </c>
      <c r="Q22" s="73" t="n"/>
      <c r="R22" s="73" t="n"/>
      <c r="S22" s="73" t="n"/>
      <c r="T22" s="73" t="n"/>
      <c r="U22" s="74" t="n"/>
      <c r="V22" s="32" t="inlineStr">
        <is>
          <t>激活</t>
        </is>
      </c>
      <c r="W22" s="14" t="n"/>
      <c r="X22" s="31" t="inlineStr">
        <is>
          <t>序号</t>
        </is>
      </c>
      <c r="Y22" s="31" t="inlineStr">
        <is>
          <t>弱点标签</t>
        </is>
      </c>
      <c r="Z22" s="73" t="n"/>
      <c r="AA22" s="73" t="n"/>
      <c r="AB22" s="73" t="n"/>
      <c r="AC22" s="73" t="n"/>
      <c r="AD22" s="74" t="n"/>
      <c r="AE22" s="31" t="inlineStr">
        <is>
          <t>激活</t>
        </is>
      </c>
      <c r="AF22" s="14" t="n"/>
      <c r="AG22" s="31" t="inlineStr">
        <is>
          <t>序号</t>
        </is>
      </c>
      <c r="AH22" s="31" t="inlineStr">
        <is>
          <t>弱点标签</t>
        </is>
      </c>
      <c r="AI22" s="73" t="n"/>
      <c r="AJ22" s="73" t="n"/>
      <c r="AK22" s="73" t="n"/>
      <c r="AL22" s="73" t="n"/>
      <c r="AM22" s="74" t="n"/>
      <c r="AN22" s="31" t="inlineStr">
        <is>
          <t>激活</t>
        </is>
      </c>
      <c r="AO22" s="14" t="n"/>
      <c r="AP22" s="31" t="inlineStr">
        <is>
          <t>序号</t>
        </is>
      </c>
      <c r="AQ22" s="31" t="inlineStr">
        <is>
          <t>弱点标签</t>
        </is>
      </c>
      <c r="AR22" s="73" t="n"/>
      <c r="AS22" s="73" t="n"/>
      <c r="AT22" s="73" t="n"/>
      <c r="AU22" s="73" t="n"/>
      <c r="AV22" s="74" t="n"/>
      <c r="AW22" s="31" t="inlineStr">
        <is>
          <t>激活</t>
        </is>
      </c>
      <c r="AX22" s="14" t="n"/>
      <c r="AY22" s="24" t="inlineStr">
        <is>
          <t>序号</t>
        </is>
      </c>
      <c r="AZ22" s="24" t="inlineStr">
        <is>
          <t>弱点标签</t>
        </is>
      </c>
      <c r="BA22" s="73" t="n"/>
      <c r="BB22" s="73" t="n"/>
      <c r="BC22" s="73" t="n"/>
      <c r="BD22" s="73" t="n"/>
      <c r="BE22" s="74" t="n"/>
      <c r="BF22" s="24" t="inlineStr">
        <is>
          <t>激活</t>
        </is>
      </c>
      <c r="BG22" s="14" t="n"/>
      <c r="BH22" s="24" t="inlineStr">
        <is>
          <t>序号</t>
        </is>
      </c>
      <c r="BI22" s="24" t="inlineStr">
        <is>
          <t>弱点标签</t>
        </is>
      </c>
      <c r="BJ22" s="73" t="n"/>
      <c r="BK22" s="73" t="n"/>
      <c r="BL22" s="73" t="n"/>
      <c r="BM22" s="73" t="n"/>
      <c r="BN22" s="74" t="n"/>
      <c r="BO22" s="24" t="inlineStr">
        <is>
          <t>激活</t>
        </is>
      </c>
    </row>
    <row r="23" ht="15.6" customHeight="1" s="72">
      <c r="A23" s="24" t="inlineStr">
        <is>
          <t>进化时刻</t>
        </is>
      </c>
      <c r="B23" s="73" t="n"/>
      <c r="C23" s="73" t="n"/>
      <c r="D23" s="73" t="n"/>
      <c r="E23" s="73" t="n"/>
      <c r="F23" s="74" t="n"/>
      <c r="G23" s="14" t="n"/>
      <c r="H23" s="79" t="n"/>
      <c r="I23" s="80" t="n"/>
      <c r="J23" s="80" t="n"/>
      <c r="K23" s="80" t="n"/>
      <c r="L23" s="80" t="n"/>
      <c r="M23" s="81" t="n"/>
      <c r="N23" s="14" t="n"/>
      <c r="O23" s="32" t="inlineStr">
        <is>
          <t>A</t>
        </is>
      </c>
      <c r="P23" s="25" t="inlineStr">
        <is>
          <t>关键事件给你留下了什么样的情感上的创伤或负担？</t>
        </is>
      </c>
      <c r="Q23" s="78" t="n"/>
      <c r="R23" s="78" t="n"/>
      <c r="S23" s="78" t="n"/>
      <c r="T23" s="78" t="n"/>
      <c r="U23" s="75" t="n"/>
      <c r="V23" s="64" t="inlineStr">
        <is>
          <t>○</t>
        </is>
      </c>
      <c r="W23" s="14" t="n"/>
      <c r="X23" s="31" t="inlineStr">
        <is>
          <t>A</t>
        </is>
      </c>
      <c r="Y23" s="25" t="inlineStr">
        <is>
          <t>你的适应能力依赖于什么？</t>
        </is>
      </c>
      <c r="Z23" s="78" t="n"/>
      <c r="AA23" s="78" t="n"/>
      <c r="AB23" s="78" t="n"/>
      <c r="AC23" s="78" t="n"/>
      <c r="AD23" s="75" t="n"/>
      <c r="AE23" s="64" t="inlineStr">
        <is>
          <t>○</t>
        </is>
      </c>
      <c r="AF23" s="14" t="n"/>
      <c r="AG23" s="31" t="inlineStr">
        <is>
          <t>A</t>
        </is>
      </c>
      <c r="AH23" s="25" t="inlineStr">
        <is>
          <t>你的防御能力如何影响你的外观？</t>
        </is>
      </c>
      <c r="AI23" s="78" t="n"/>
      <c r="AJ23" s="78" t="n"/>
      <c r="AK23" s="78" t="n"/>
      <c r="AL23" s="78" t="n"/>
      <c r="AM23" s="75" t="n"/>
      <c r="AN23" s="64" t="inlineStr">
        <is>
          <t>○</t>
        </is>
      </c>
      <c r="AO23" s="14" t="n"/>
      <c r="AP23" s="31">
        <f>IFERROR(INDEX(数据!$A$13:$A$16,MATCH(AQ23,OFFSET(数据!$B$13,0,MATCH(AR$3,数据!$B$1:$AB$1,0)-1,4),0)),"")</f>
        <v/>
      </c>
      <c r="AQ23" s="25" t="n"/>
      <c r="AR23" s="78" t="n"/>
      <c r="AS23" s="78" t="n"/>
      <c r="AT23" s="78" t="n"/>
      <c r="AU23" s="78" t="n"/>
      <c r="AV23" s="75" t="n"/>
      <c r="AW23" s="64" t="inlineStr">
        <is>
          <t>○</t>
        </is>
      </c>
      <c r="AX23" s="14" t="n"/>
      <c r="AY23" s="24">
        <f>IFERROR(INDEX(数据!$A$13:$A$16,MATCH(AZ23,数据!$AE$13:$AE$16,0)),"")</f>
        <v/>
      </c>
      <c r="AZ23" s="25" t="n"/>
      <c r="BA23" s="78" t="n"/>
      <c r="BB23" s="78" t="n"/>
      <c r="BC23" s="78" t="n"/>
      <c r="BD23" s="78" t="n"/>
      <c r="BE23" s="75" t="n"/>
      <c r="BF23" s="64" t="inlineStr">
        <is>
          <t>○</t>
        </is>
      </c>
      <c r="BG23" s="14" t="n"/>
      <c r="BH23" s="24">
        <f>IFERROR(INDEX(数据!$A$13:$A$16,MATCH(BI23,数据!$AE$13:$AE$16,0)),"")</f>
        <v/>
      </c>
      <c r="BI23" s="25" t="n"/>
      <c r="BJ23" s="78" t="n"/>
      <c r="BK23" s="78" t="n"/>
      <c r="BL23" s="78" t="n"/>
      <c r="BM23" s="78" t="n"/>
      <c r="BN23" s="75" t="n"/>
      <c r="BO23" s="64" t="inlineStr">
        <is>
          <t>○</t>
        </is>
      </c>
    </row>
    <row r="24" ht="15.6" customHeight="1" s="72">
      <c r="A24" s="24" t="inlineStr">
        <is>
          <t>增强点</t>
        </is>
      </c>
      <c r="B24" s="5" t="inlineStr">
        <is>
          <t>○</t>
        </is>
      </c>
      <c r="C24" s="6" t="inlineStr">
        <is>
          <t>○</t>
        </is>
      </c>
      <c r="D24" s="5" t="inlineStr">
        <is>
          <t>○</t>
        </is>
      </c>
      <c r="E24" s="6" t="inlineStr">
        <is>
          <t>○</t>
        </is>
      </c>
      <c r="F24" s="5" t="inlineStr">
        <is>
          <t>○</t>
        </is>
      </c>
      <c r="G24" s="13" t="n"/>
      <c r="H24" s="79" t="n"/>
      <c r="I24" s="80" t="n"/>
      <c r="J24" s="80" t="n"/>
      <c r="K24" s="80" t="n"/>
      <c r="L24" s="80" t="n"/>
      <c r="M24" s="81" t="n"/>
      <c r="N24" s="13" t="n"/>
      <c r="O24" s="92" t="n"/>
      <c r="P24" s="27" t="inlineStr">
        <is>
          <t>【火光闪回的创伤】</t>
        </is>
      </c>
      <c r="Q24" s="78" t="n"/>
      <c r="R24" s="78" t="n"/>
      <c r="S24" s="78" t="n"/>
      <c r="T24" s="78" t="n"/>
      <c r="U24" s="75" t="n"/>
      <c r="V24" s="93" t="n"/>
      <c r="W24" s="13" t="n"/>
      <c r="X24" s="92" t="n"/>
      <c r="Y24" s="27" t="inlineStr">
        <is>
          <t>【依赖可燃物】</t>
        </is>
      </c>
      <c r="Z24" s="78" t="n"/>
      <c r="AA24" s="78" t="n"/>
      <c r="AB24" s="78" t="n"/>
      <c r="AC24" s="78" t="n"/>
      <c r="AD24" s="75" t="n"/>
      <c r="AE24" s="93" t="n"/>
      <c r="AF24" s="13" t="n"/>
      <c r="AG24" s="92" t="n"/>
      <c r="AH24" s="27" t="inlineStr">
        <is>
          <t>【屏障需时重塑】</t>
        </is>
      </c>
      <c r="AI24" s="78" t="n"/>
      <c r="AJ24" s="78" t="n"/>
      <c r="AK24" s="78" t="n"/>
      <c r="AL24" s="78" t="n"/>
      <c r="AM24" s="75" t="n"/>
      <c r="AN24" s="93" t="n"/>
      <c r="AO24" s="13" t="n"/>
      <c r="AP24" s="92" t="n"/>
      <c r="AQ24" s="27" t="n"/>
      <c r="AR24" s="78" t="n"/>
      <c r="AS24" s="78" t="n"/>
      <c r="AT24" s="78" t="n"/>
      <c r="AU24" s="78" t="n"/>
      <c r="AV24" s="75" t="n"/>
      <c r="AW24" s="93" t="n"/>
      <c r="AX24" s="13" t="n"/>
      <c r="AY24" s="92" t="n"/>
      <c r="AZ24" s="27" t="n"/>
      <c r="BA24" s="78" t="n"/>
      <c r="BB24" s="78" t="n"/>
      <c r="BC24" s="78" t="n"/>
      <c r="BD24" s="78" t="n"/>
      <c r="BE24" s="75" t="n"/>
      <c r="BF24" s="93" t="n"/>
      <c r="BG24" s="13" t="n"/>
      <c r="BH24" s="92" t="n"/>
      <c r="BI24" s="27" t="n"/>
      <c r="BJ24" s="78" t="n"/>
      <c r="BK24" s="78" t="n"/>
      <c r="BL24" s="78" t="n"/>
      <c r="BM24" s="78" t="n"/>
      <c r="BN24" s="75" t="n"/>
      <c r="BO24" s="93" t="n"/>
    </row>
    <row r="25" ht="15" customHeight="1" s="72">
      <c r="A25" s="25" t="n"/>
      <c r="B25" s="78" t="n"/>
      <c r="C25" s="78" t="n"/>
      <c r="D25" s="78" t="n"/>
      <c r="E25" s="78" t="n"/>
      <c r="F25" s="75" t="n"/>
      <c r="G25" s="14" t="n"/>
      <c r="H25" s="79" t="n"/>
      <c r="I25" s="80" t="n"/>
      <c r="J25" s="80" t="n"/>
      <c r="K25" s="80" t="n"/>
      <c r="L25" s="80" t="n"/>
      <c r="M25" s="81" t="n"/>
      <c r="N25" s="14" t="n"/>
      <c r="O25" s="32">
        <f>IFERROR(INDEX(数据!$A$13:$A$16,MATCH(P25,OFFSET(数据!$B$13,0,MATCH(Q$3,数据!$B$1:$AB$1,0)-1,4),0)),"")</f>
        <v/>
      </c>
      <c r="P25" s="25" t="n"/>
      <c r="Q25" s="78" t="n"/>
      <c r="R25" s="78" t="n"/>
      <c r="S25" s="78" t="n"/>
      <c r="T25" s="78" t="n"/>
      <c r="U25" s="75" t="n"/>
      <c r="V25" s="65" t="inlineStr">
        <is>
          <t>○</t>
        </is>
      </c>
      <c r="W25" s="14" t="n"/>
      <c r="X25" s="31">
        <f>IFERROR(INDEX(数据!$A$13:$A$16,MATCH(Y25,OFFSET(数据!$B$13,0,MATCH(Z$3,数据!$B$1:$AB$1,0)-1,4),0)),"")</f>
        <v/>
      </c>
      <c r="Y25" s="25" t="n"/>
      <c r="Z25" s="78" t="n"/>
      <c r="AA25" s="78" t="n"/>
      <c r="AB25" s="78" t="n"/>
      <c r="AC25" s="78" t="n"/>
      <c r="AD25" s="75" t="n"/>
      <c r="AE25" s="65" t="inlineStr">
        <is>
          <t>○</t>
        </is>
      </c>
      <c r="AF25" s="14" t="n"/>
      <c r="AG25" s="31">
        <f>IFERROR(INDEX(数据!$A$13:$A$16,MATCH(AH25,OFFSET(数据!$B$13,0,MATCH(AI$3,数据!$B$1:$AB$1,0)-1,4),0)),"")</f>
        <v/>
      </c>
      <c r="AH25" s="25" t="n"/>
      <c r="AI25" s="78" t="n"/>
      <c r="AJ25" s="78" t="n"/>
      <c r="AK25" s="78" t="n"/>
      <c r="AL25" s="78" t="n"/>
      <c r="AM25" s="75" t="n"/>
      <c r="AN25" s="65" t="inlineStr">
        <is>
          <t>○</t>
        </is>
      </c>
      <c r="AO25" s="14" t="n"/>
      <c r="AP25" s="31">
        <f>IFERROR(INDEX(数据!$A$13:$A$16,MATCH(AQ25,OFFSET(数据!$B$13,0,MATCH(AR$3,数据!$B$1:$AB$1,0)-1,4),0)),"")</f>
        <v/>
      </c>
      <c r="AQ25" s="25" t="n"/>
      <c r="AR25" s="78" t="n"/>
      <c r="AS25" s="78" t="n"/>
      <c r="AT25" s="78" t="n"/>
      <c r="AU25" s="78" t="n"/>
      <c r="AV25" s="75" t="n"/>
      <c r="AW25" s="65" t="inlineStr">
        <is>
          <t>○</t>
        </is>
      </c>
      <c r="AX25" s="14" t="n"/>
      <c r="AY25" s="24">
        <f>IFERROR(INDEX(数据!$A$13:$A$16,MATCH(AZ25,数据!$AE$13:$AE$16,0)),"")</f>
        <v/>
      </c>
      <c r="AZ25" s="25" t="n"/>
      <c r="BA25" s="78" t="n"/>
      <c r="BB25" s="78" t="n"/>
      <c r="BC25" s="78" t="n"/>
      <c r="BD25" s="78" t="n"/>
      <c r="BE25" s="75" t="n"/>
      <c r="BF25" s="65" t="inlineStr">
        <is>
          <t>○</t>
        </is>
      </c>
      <c r="BG25" s="14" t="n"/>
      <c r="BH25" s="24">
        <f>IFERROR(INDEX(数据!$A$13:$A$16,MATCH(BI25,数据!$AE$13:$AE$16,0)),"")</f>
        <v/>
      </c>
      <c r="BI25" s="25" t="n"/>
      <c r="BJ25" s="78" t="n"/>
      <c r="BK25" s="78" t="n"/>
      <c r="BL25" s="78" t="n"/>
      <c r="BM25" s="78" t="n"/>
      <c r="BN25" s="75" t="n"/>
      <c r="BO25" s="65" t="inlineStr">
        <is>
          <t>○</t>
        </is>
      </c>
    </row>
    <row r="26" ht="15" customHeight="1" s="72">
      <c r="A26" s="27" t="n"/>
      <c r="B26" s="78" t="n"/>
      <c r="C26" s="78" t="n"/>
      <c r="D26" s="78" t="n"/>
      <c r="E26" s="78" t="n"/>
      <c r="F26" s="75" t="n"/>
      <c r="G26" s="14" t="n"/>
      <c r="H26" s="79" t="n"/>
      <c r="I26" s="80" t="n"/>
      <c r="J26" s="80" t="n"/>
      <c r="K26" s="80" t="n"/>
      <c r="L26" s="80" t="n"/>
      <c r="M26" s="81" t="n"/>
      <c r="N26" s="14" t="n"/>
      <c r="O26" s="92" t="n"/>
      <c r="P26" s="27" t="n"/>
      <c r="Q26" s="78" t="n"/>
      <c r="R26" s="78" t="n"/>
      <c r="S26" s="78" t="n"/>
      <c r="T26" s="78" t="n"/>
      <c r="U26" s="75" t="n"/>
      <c r="V26" s="93" t="n"/>
      <c r="W26" s="14" t="n"/>
      <c r="X26" s="92" t="n"/>
      <c r="Y26" s="27" t="n"/>
      <c r="Z26" s="78" t="n"/>
      <c r="AA26" s="78" t="n"/>
      <c r="AB26" s="78" t="n"/>
      <c r="AC26" s="78" t="n"/>
      <c r="AD26" s="75" t="n"/>
      <c r="AE26" s="93" t="n"/>
      <c r="AF26" s="14" t="n"/>
      <c r="AG26" s="92" t="n"/>
      <c r="AH26" s="27" t="n"/>
      <c r="AI26" s="78" t="n"/>
      <c r="AJ26" s="78" t="n"/>
      <c r="AK26" s="78" t="n"/>
      <c r="AL26" s="78" t="n"/>
      <c r="AM26" s="75" t="n"/>
      <c r="AN26" s="93" t="n"/>
      <c r="AO26" s="14" t="n"/>
      <c r="AP26" s="92" t="n"/>
      <c r="AQ26" s="27" t="n"/>
      <c r="AR26" s="78" t="n"/>
      <c r="AS26" s="78" t="n"/>
      <c r="AT26" s="78" t="n"/>
      <c r="AU26" s="78" t="n"/>
      <c r="AV26" s="75" t="n"/>
      <c r="AW26" s="93" t="n"/>
      <c r="AX26" s="14" t="n"/>
      <c r="AY26" s="92" t="n"/>
      <c r="AZ26" s="27" t="n"/>
      <c r="BA26" s="78" t="n"/>
      <c r="BB26" s="78" t="n"/>
      <c r="BC26" s="78" t="n"/>
      <c r="BD26" s="78" t="n"/>
      <c r="BE26" s="75" t="n"/>
      <c r="BF26" s="93" t="n"/>
      <c r="BG26" s="14" t="n"/>
      <c r="BH26" s="92" t="n"/>
      <c r="BI26" s="27" t="n"/>
      <c r="BJ26" s="78" t="n"/>
      <c r="BK26" s="78" t="n"/>
      <c r="BL26" s="78" t="n"/>
      <c r="BM26" s="78" t="n"/>
      <c r="BN26" s="75" t="n"/>
      <c r="BO26" s="93" t="n"/>
    </row>
    <row r="27" ht="15" customHeight="1" s="72">
      <c r="A27" s="25" t="n"/>
      <c r="B27" s="78" t="n"/>
      <c r="C27" s="78" t="n"/>
      <c r="D27" s="78" t="n"/>
      <c r="E27" s="78" t="n"/>
      <c r="F27" s="75" t="n"/>
      <c r="G27" s="14" t="n"/>
      <c r="H27" s="79" t="n"/>
      <c r="I27" s="80" t="n"/>
      <c r="J27" s="80" t="n"/>
      <c r="K27" s="80" t="n"/>
      <c r="L27" s="80" t="n"/>
      <c r="M27" s="81" t="n"/>
      <c r="N27" s="14" t="n"/>
      <c r="O27" s="32">
        <f>IFERROR(INDEX(数据!$A$13:$A$16,MATCH(P27,OFFSET(数据!$B$13,0,MATCH(Q$3,数据!$B$1:$AB$1,0)-1,4),0)),"")</f>
        <v/>
      </c>
      <c r="P27" s="25" t="n"/>
      <c r="Q27" s="78" t="n"/>
      <c r="R27" s="78" t="n"/>
      <c r="S27" s="78" t="n"/>
      <c r="T27" s="78" t="n"/>
      <c r="U27" s="75" t="n"/>
      <c r="V27" s="64" t="inlineStr">
        <is>
          <t>○</t>
        </is>
      </c>
      <c r="W27" s="14" t="n"/>
      <c r="X27" s="31">
        <f>IFERROR(INDEX(数据!$A$13:$A$16,MATCH(Y27,OFFSET(数据!$B$13,0,MATCH(Z$3,数据!$B$1:$AB$1,0)-1,4),0)),"")</f>
        <v/>
      </c>
      <c r="Y27" s="25" t="n"/>
      <c r="Z27" s="78" t="n"/>
      <c r="AA27" s="78" t="n"/>
      <c r="AB27" s="78" t="n"/>
      <c r="AC27" s="78" t="n"/>
      <c r="AD27" s="75" t="n"/>
      <c r="AE27" s="64" t="inlineStr">
        <is>
          <t>○</t>
        </is>
      </c>
      <c r="AF27" s="14" t="n"/>
      <c r="AG27" s="31">
        <f>IFERROR(INDEX(数据!$A$13:$A$16,MATCH(AH27,OFFSET(数据!$B$13,0,MATCH(AI$3,数据!$B$1:$AB$1,0)-1,4),0)),"")</f>
        <v/>
      </c>
      <c r="AH27" s="25" t="n"/>
      <c r="AI27" s="78" t="n"/>
      <c r="AJ27" s="78" t="n"/>
      <c r="AK27" s="78" t="n"/>
      <c r="AL27" s="78" t="n"/>
      <c r="AM27" s="75" t="n"/>
      <c r="AN27" s="64" t="inlineStr">
        <is>
          <t>○</t>
        </is>
      </c>
      <c r="AO27" s="14" t="n"/>
      <c r="AP27" s="31">
        <f>IFERROR(INDEX(数据!$A$13:$A$16,MATCH(AQ27,OFFSET(数据!$B$13,0,MATCH(AR$3,数据!$B$1:$AB$1,0)-1,4),0)),"")</f>
        <v/>
      </c>
      <c r="AQ27" s="25" t="n"/>
      <c r="AR27" s="78" t="n"/>
      <c r="AS27" s="78" t="n"/>
      <c r="AT27" s="78" t="n"/>
      <c r="AU27" s="78" t="n"/>
      <c r="AV27" s="75" t="n"/>
      <c r="AW27" s="64" t="inlineStr">
        <is>
          <t>○</t>
        </is>
      </c>
      <c r="AX27" s="14" t="n"/>
      <c r="AY27" s="24">
        <f>IFERROR(INDEX(数据!$A$13:$A$16,MATCH(AZ27,数据!$AE$13:$AE$16,0)),"")</f>
        <v/>
      </c>
      <c r="AZ27" s="25" t="n"/>
      <c r="BA27" s="78" t="n"/>
      <c r="BB27" s="78" t="n"/>
      <c r="BC27" s="78" t="n"/>
      <c r="BD27" s="78" t="n"/>
      <c r="BE27" s="75" t="n"/>
      <c r="BF27" s="64" t="inlineStr">
        <is>
          <t>○</t>
        </is>
      </c>
      <c r="BG27" s="14" t="n"/>
      <c r="BH27" s="24">
        <f>IFERROR(INDEX(数据!$A$13:$A$16,MATCH(BI27,数据!$AE$13:$AE$16,0)),"")</f>
        <v/>
      </c>
      <c r="BI27" s="25" t="n"/>
      <c r="BJ27" s="78" t="n"/>
      <c r="BK27" s="78" t="n"/>
      <c r="BL27" s="78" t="n"/>
      <c r="BM27" s="78" t="n"/>
      <c r="BN27" s="75" t="n"/>
      <c r="BO27" s="64" t="inlineStr">
        <is>
          <t>○</t>
        </is>
      </c>
    </row>
    <row r="28" ht="15" customHeight="1" s="72">
      <c r="A28" s="27" t="n"/>
      <c r="B28" s="78" t="n"/>
      <c r="C28" s="78" t="n"/>
      <c r="D28" s="78" t="n"/>
      <c r="E28" s="78" t="n"/>
      <c r="F28" s="75" t="n"/>
      <c r="G28" s="14" t="n"/>
      <c r="H28" s="79" t="n"/>
      <c r="I28" s="80" t="n"/>
      <c r="J28" s="80" t="n"/>
      <c r="K28" s="80" t="n"/>
      <c r="L28" s="80" t="n"/>
      <c r="M28" s="81" t="n"/>
      <c r="N28" s="14" t="n"/>
      <c r="O28" s="92" t="n"/>
      <c r="P28" s="27" t="n"/>
      <c r="Q28" s="78" t="n"/>
      <c r="R28" s="78" t="n"/>
      <c r="S28" s="78" t="n"/>
      <c r="T28" s="78" t="n"/>
      <c r="U28" s="75" t="n"/>
      <c r="V28" s="93" t="n"/>
      <c r="W28" s="14" t="n"/>
      <c r="X28" s="92" t="n"/>
      <c r="Y28" s="27" t="n"/>
      <c r="Z28" s="78" t="n"/>
      <c r="AA28" s="78" t="n"/>
      <c r="AB28" s="78" t="n"/>
      <c r="AC28" s="78" t="n"/>
      <c r="AD28" s="75" t="n"/>
      <c r="AE28" s="93" t="n"/>
      <c r="AF28" s="14" t="n"/>
      <c r="AG28" s="92" t="n"/>
      <c r="AH28" s="27" t="n"/>
      <c r="AI28" s="78" t="n"/>
      <c r="AJ28" s="78" t="n"/>
      <c r="AK28" s="78" t="n"/>
      <c r="AL28" s="78" t="n"/>
      <c r="AM28" s="75" t="n"/>
      <c r="AN28" s="93" t="n"/>
      <c r="AO28" s="14" t="n"/>
      <c r="AP28" s="92" t="n"/>
      <c r="AQ28" s="27" t="n"/>
      <c r="AR28" s="78" t="n"/>
      <c r="AS28" s="78" t="n"/>
      <c r="AT28" s="78" t="n"/>
      <c r="AU28" s="78" t="n"/>
      <c r="AV28" s="75" t="n"/>
      <c r="AW28" s="93" t="n"/>
      <c r="AX28" s="14" t="n"/>
      <c r="AY28" s="92" t="n"/>
      <c r="AZ28" s="27" t="n"/>
      <c r="BA28" s="78" t="n"/>
      <c r="BB28" s="78" t="n"/>
      <c r="BC28" s="78" t="n"/>
      <c r="BD28" s="78" t="n"/>
      <c r="BE28" s="75" t="n"/>
      <c r="BF28" s="93" t="n"/>
      <c r="BG28" s="14" t="n"/>
      <c r="BH28" s="92" t="n"/>
      <c r="BI28" s="27" t="n"/>
      <c r="BJ28" s="78" t="n"/>
      <c r="BK28" s="78" t="n"/>
      <c r="BL28" s="78" t="n"/>
      <c r="BM28" s="78" t="n"/>
      <c r="BN28" s="75" t="n"/>
      <c r="BO28" s="93" t="n"/>
    </row>
    <row r="29" ht="15.6" customHeight="1" s="72">
      <c r="A29" s="25" t="n"/>
      <c r="B29" s="78" t="n"/>
      <c r="C29" s="78" t="n"/>
      <c r="D29" s="78" t="n"/>
      <c r="E29" s="78" t="n"/>
      <c r="F29" s="75" t="n"/>
      <c r="G29" s="13" t="n"/>
      <c r="H29" s="79" t="n"/>
      <c r="I29" s="80" t="n"/>
      <c r="J29" s="80" t="n"/>
      <c r="K29" s="80" t="n"/>
      <c r="L29" s="80" t="n"/>
      <c r="M29" s="81" t="n"/>
      <c r="N29" s="13" t="n"/>
      <c r="O29" s="32" t="inlineStr">
        <is>
          <t>提升</t>
        </is>
      </c>
      <c r="P29" s="73" t="n"/>
      <c r="Q29" s="73" t="n"/>
      <c r="R29" s="73" t="n"/>
      <c r="S29" s="73" t="n"/>
      <c r="T29" s="73" t="n"/>
      <c r="U29" s="73" t="n"/>
      <c r="V29" s="74" t="n"/>
      <c r="W29" s="13" t="n"/>
      <c r="X29" s="31" t="inlineStr">
        <is>
          <t>提升</t>
        </is>
      </c>
      <c r="Y29" s="73" t="n"/>
      <c r="Z29" s="73" t="n"/>
      <c r="AA29" s="73" t="n"/>
      <c r="AB29" s="73" t="n"/>
      <c r="AC29" s="73" t="n"/>
      <c r="AD29" s="73" t="n"/>
      <c r="AE29" s="74" t="n"/>
      <c r="AF29" s="13" t="n"/>
      <c r="AG29" s="31" t="inlineStr">
        <is>
          <t>提升</t>
        </is>
      </c>
      <c r="AH29" s="73" t="n"/>
      <c r="AI29" s="73" t="n"/>
      <c r="AJ29" s="73" t="n"/>
      <c r="AK29" s="73" t="n"/>
      <c r="AL29" s="73" t="n"/>
      <c r="AM29" s="73" t="n"/>
      <c r="AN29" s="74" t="n"/>
      <c r="AO29" s="13" t="n"/>
      <c r="AP29" s="31" t="inlineStr">
        <is>
          <t>提升</t>
        </is>
      </c>
      <c r="AQ29" s="73" t="n"/>
      <c r="AR29" s="73" t="n"/>
      <c r="AS29" s="73" t="n"/>
      <c r="AT29" s="73" t="n"/>
      <c r="AU29" s="73" t="n"/>
      <c r="AV29" s="73" t="n"/>
      <c r="AW29" s="74" t="n"/>
      <c r="AX29" s="13" t="n"/>
      <c r="AY29" s="24" t="inlineStr">
        <is>
          <t>提升</t>
        </is>
      </c>
      <c r="AZ29" s="73" t="n"/>
      <c r="BA29" s="73" t="n"/>
      <c r="BB29" s="73" t="n"/>
      <c r="BC29" s="73" t="n"/>
      <c r="BD29" s="73" t="n"/>
      <c r="BE29" s="73" t="n"/>
      <c r="BF29" s="74" t="n"/>
      <c r="BG29" s="13" t="n"/>
      <c r="BH29" s="24" t="inlineStr">
        <is>
          <t>提升</t>
        </is>
      </c>
      <c r="BI29" s="73" t="n"/>
      <c r="BJ29" s="73" t="n"/>
      <c r="BK29" s="73" t="n"/>
      <c r="BL29" s="73" t="n"/>
      <c r="BM29" s="73" t="n"/>
      <c r="BN29" s="73" t="n"/>
      <c r="BO29" s="74" t="n"/>
    </row>
    <row r="30" ht="15" customHeight="1" s="72">
      <c r="A30" s="27" t="n"/>
      <c r="B30" s="78" t="n"/>
      <c r="C30" s="78" t="n"/>
      <c r="D30" s="78" t="n"/>
      <c r="E30" s="78" t="n"/>
      <c r="F30" s="75" t="n"/>
      <c r="G30" s="16" t="n"/>
      <c r="H30" s="79" t="n"/>
      <c r="I30" s="80" t="n"/>
      <c r="J30" s="80" t="n"/>
      <c r="K30" s="80" t="n"/>
      <c r="L30" s="80" t="n"/>
      <c r="M30" s="81" t="n"/>
      <c r="N30" s="16" t="n"/>
      <c r="O30" s="25" t="n"/>
      <c r="P30" s="78" t="n"/>
      <c r="Q30" s="78" t="n"/>
      <c r="R30" s="78" t="n"/>
      <c r="S30" s="78" t="n"/>
      <c r="T30" s="78" t="n"/>
      <c r="U30" s="78" t="n"/>
      <c r="V30" s="75" t="n"/>
      <c r="W30" s="16" t="n"/>
      <c r="X30" s="25" t="n"/>
      <c r="Y30" s="78" t="n"/>
      <c r="Z30" s="78" t="n"/>
      <c r="AA30" s="78" t="n"/>
      <c r="AB30" s="78" t="n"/>
      <c r="AC30" s="78" t="n"/>
      <c r="AD30" s="78" t="n"/>
      <c r="AE30" s="75" t="n"/>
      <c r="AF30" s="16" t="n"/>
      <c r="AG30" s="25" t="n"/>
      <c r="AH30" s="78" t="n"/>
      <c r="AI30" s="78" t="n"/>
      <c r="AJ30" s="78" t="n"/>
      <c r="AK30" s="78" t="n"/>
      <c r="AL30" s="78" t="n"/>
      <c r="AM30" s="78" t="n"/>
      <c r="AN30" s="75" t="n"/>
      <c r="AO30" s="16" t="n"/>
      <c r="AP30" s="25" t="n"/>
      <c r="AQ30" s="78" t="n"/>
      <c r="AR30" s="78" t="n"/>
      <c r="AS30" s="78" t="n"/>
      <c r="AT30" s="78" t="n"/>
      <c r="AU30" s="78" t="n"/>
      <c r="AV30" s="78" t="n"/>
      <c r="AW30" s="75" t="n"/>
      <c r="AX30" s="16" t="n"/>
      <c r="AY30" s="25" t="n"/>
      <c r="AZ30" s="78" t="n"/>
      <c r="BA30" s="78" t="n"/>
      <c r="BB30" s="78" t="n"/>
      <c r="BC30" s="78" t="n"/>
      <c r="BD30" s="78" t="n"/>
      <c r="BE30" s="78" t="n"/>
      <c r="BF30" s="75" t="n"/>
      <c r="BG30" s="16" t="n"/>
      <c r="BH30" s="25" t="n"/>
      <c r="BI30" s="78" t="n"/>
      <c r="BJ30" s="78" t="n"/>
      <c r="BK30" s="78" t="n"/>
      <c r="BL30" s="78" t="n"/>
      <c r="BM30" s="78" t="n"/>
      <c r="BN30" s="78" t="n"/>
      <c r="BO30" s="75" t="n"/>
    </row>
    <row r="31" ht="15.6" customHeight="1" s="72">
      <c r="A31" s="24" t="inlineStr">
        <is>
          <t>报应</t>
        </is>
      </c>
      <c r="B31" s="73" t="n"/>
      <c r="C31" s="73" t="n"/>
      <c r="D31" s="73" t="n"/>
      <c r="E31" s="73" t="n"/>
      <c r="F31" s="74" t="n"/>
      <c r="G31" s="13" t="n"/>
      <c r="H31" s="79" t="n"/>
      <c r="I31" s="80" t="n"/>
      <c r="J31" s="80" t="n"/>
      <c r="K31" s="80" t="n"/>
      <c r="L31" s="80" t="n"/>
      <c r="M31" s="81" t="n"/>
      <c r="N31" s="13" t="n"/>
      <c r="O31" s="27" t="n"/>
      <c r="P31" s="78" t="n"/>
      <c r="Q31" s="78" t="n"/>
      <c r="R31" s="78" t="n"/>
      <c r="S31" s="78" t="n"/>
      <c r="T31" s="78" t="n"/>
      <c r="U31" s="78" t="n"/>
      <c r="V31" s="75" t="n"/>
      <c r="W31" s="13" t="n"/>
      <c r="X31" s="27" t="n"/>
      <c r="Y31" s="78" t="n"/>
      <c r="Z31" s="78" t="n"/>
      <c r="AA31" s="78" t="n"/>
      <c r="AB31" s="78" t="n"/>
      <c r="AC31" s="78" t="n"/>
      <c r="AD31" s="78" t="n"/>
      <c r="AE31" s="75" t="n"/>
      <c r="AF31" s="13" t="n"/>
      <c r="AG31" s="27" t="n"/>
      <c r="AH31" s="78" t="n"/>
      <c r="AI31" s="78" t="n"/>
      <c r="AJ31" s="78" t="n"/>
      <c r="AK31" s="78" t="n"/>
      <c r="AL31" s="78" t="n"/>
      <c r="AM31" s="78" t="n"/>
      <c r="AN31" s="75" t="n"/>
      <c r="AO31" s="13" t="n"/>
      <c r="AP31" s="27" t="n"/>
      <c r="AQ31" s="78" t="n"/>
      <c r="AR31" s="78" t="n"/>
      <c r="AS31" s="78" t="n"/>
      <c r="AT31" s="78" t="n"/>
      <c r="AU31" s="78" t="n"/>
      <c r="AV31" s="78" t="n"/>
      <c r="AW31" s="75" t="n"/>
      <c r="AX31" s="13" t="n"/>
      <c r="AY31" s="27" t="n"/>
      <c r="AZ31" s="78" t="n"/>
      <c r="BA31" s="78" t="n"/>
      <c r="BB31" s="78" t="n"/>
      <c r="BC31" s="78" t="n"/>
      <c r="BD31" s="78" t="n"/>
      <c r="BE31" s="78" t="n"/>
      <c r="BF31" s="75" t="n"/>
      <c r="BG31" s="13" t="n"/>
      <c r="BH31" s="27" t="n"/>
      <c r="BI31" s="78" t="n"/>
      <c r="BJ31" s="78" t="n"/>
      <c r="BK31" s="78" t="n"/>
      <c r="BL31" s="78" t="n"/>
      <c r="BM31" s="78" t="n"/>
      <c r="BN31" s="78" t="n"/>
      <c r="BO31" s="75" t="n"/>
    </row>
    <row r="32" ht="15" customHeight="1" s="72">
      <c r="A32" s="25" t="n"/>
      <c r="B32" s="78" t="n"/>
      <c r="C32" s="75" t="n"/>
      <c r="D32" s="25" t="n"/>
      <c r="E32" s="78" t="n"/>
      <c r="F32" s="75" t="n"/>
      <c r="G32" s="14" t="n"/>
      <c r="H32" s="79" t="n"/>
      <c r="I32" s="80" t="n"/>
      <c r="J32" s="80" t="n"/>
      <c r="K32" s="80" t="n"/>
      <c r="L32" s="80" t="n"/>
      <c r="M32" s="81" t="n"/>
      <c r="N32" s="14" t="n"/>
      <c r="O32" s="25" t="n"/>
      <c r="P32" s="78" t="n"/>
      <c r="Q32" s="78" t="n"/>
      <c r="R32" s="78" t="n"/>
      <c r="S32" s="78" t="n"/>
      <c r="T32" s="78" t="n"/>
      <c r="U32" s="78" t="n"/>
      <c r="V32" s="75" t="n"/>
      <c r="W32" s="14" t="n"/>
      <c r="X32" s="25" t="n"/>
      <c r="Y32" s="78" t="n"/>
      <c r="Z32" s="78" t="n"/>
      <c r="AA32" s="78" t="n"/>
      <c r="AB32" s="78" t="n"/>
      <c r="AC32" s="78" t="n"/>
      <c r="AD32" s="78" t="n"/>
      <c r="AE32" s="75" t="n"/>
      <c r="AF32" s="14" t="n"/>
      <c r="AG32" s="25" t="n"/>
      <c r="AH32" s="78" t="n"/>
      <c r="AI32" s="78" t="n"/>
      <c r="AJ32" s="78" t="n"/>
      <c r="AK32" s="78" t="n"/>
      <c r="AL32" s="78" t="n"/>
      <c r="AM32" s="78" t="n"/>
      <c r="AN32" s="75" t="n"/>
      <c r="AO32" s="14" t="n"/>
      <c r="AP32" s="25" t="n"/>
      <c r="AQ32" s="78" t="n"/>
      <c r="AR32" s="78" t="n"/>
      <c r="AS32" s="78" t="n"/>
      <c r="AT32" s="78" t="n"/>
      <c r="AU32" s="78" t="n"/>
      <c r="AV32" s="78" t="n"/>
      <c r="AW32" s="75" t="n"/>
      <c r="AX32" s="14" t="n"/>
      <c r="AY32" s="25" t="n"/>
      <c r="AZ32" s="78" t="n"/>
      <c r="BA32" s="78" t="n"/>
      <c r="BB32" s="78" t="n"/>
      <c r="BC32" s="78" t="n"/>
      <c r="BD32" s="78" t="n"/>
      <c r="BE32" s="78" t="n"/>
      <c r="BF32" s="75" t="n"/>
      <c r="BG32" s="14" t="n"/>
      <c r="BH32" s="25" t="n"/>
      <c r="BI32" s="78" t="n"/>
      <c r="BJ32" s="78" t="n"/>
      <c r="BK32" s="78" t="n"/>
      <c r="BL32" s="78" t="n"/>
      <c r="BM32" s="78" t="n"/>
      <c r="BN32" s="78" t="n"/>
      <c r="BO32" s="75" t="n"/>
    </row>
    <row r="33" ht="15" customHeight="1" s="72">
      <c r="A33" s="27" t="n"/>
      <c r="B33" s="78" t="n"/>
      <c r="C33" s="75" t="n"/>
      <c r="D33" s="27" t="n"/>
      <c r="E33" s="78" t="n"/>
      <c r="F33" s="75" t="n"/>
      <c r="G33" s="14" t="n"/>
      <c r="H33" s="82" t="n"/>
      <c r="I33" s="83" t="n"/>
      <c r="J33" s="83" t="n"/>
      <c r="K33" s="83" t="n"/>
      <c r="L33" s="83" t="n"/>
      <c r="M33" s="84" t="n"/>
      <c r="N33" s="14" t="n"/>
      <c r="O33" s="27" t="n"/>
      <c r="P33" s="78" t="n"/>
      <c r="Q33" s="78" t="n"/>
      <c r="R33" s="78" t="n"/>
      <c r="S33" s="78" t="n"/>
      <c r="T33" s="78" t="n"/>
      <c r="U33" s="78" t="n"/>
      <c r="V33" s="75" t="n"/>
      <c r="W33" s="14" t="n"/>
      <c r="X33" s="27" t="n"/>
      <c r="Y33" s="78" t="n"/>
      <c r="Z33" s="78" t="n"/>
      <c r="AA33" s="78" t="n"/>
      <c r="AB33" s="78" t="n"/>
      <c r="AC33" s="78" t="n"/>
      <c r="AD33" s="78" t="n"/>
      <c r="AE33" s="75" t="n"/>
      <c r="AF33" s="14" t="n"/>
      <c r="AG33" s="27" t="n"/>
      <c r="AH33" s="78" t="n"/>
      <c r="AI33" s="78" t="n"/>
      <c r="AJ33" s="78" t="n"/>
      <c r="AK33" s="78" t="n"/>
      <c r="AL33" s="78" t="n"/>
      <c r="AM33" s="78" t="n"/>
      <c r="AN33" s="75" t="n"/>
      <c r="AO33" s="14" t="n"/>
      <c r="AP33" s="27" t="n"/>
      <c r="AQ33" s="78" t="n"/>
      <c r="AR33" s="78" t="n"/>
      <c r="AS33" s="78" t="n"/>
      <c r="AT33" s="78" t="n"/>
      <c r="AU33" s="78" t="n"/>
      <c r="AV33" s="78" t="n"/>
      <c r="AW33" s="75" t="n"/>
      <c r="AX33" s="14" t="n"/>
      <c r="AY33" s="27" t="n"/>
      <c r="AZ33" s="78" t="n"/>
      <c r="BA33" s="78" t="n"/>
      <c r="BB33" s="78" t="n"/>
      <c r="BC33" s="78" t="n"/>
      <c r="BD33" s="78" t="n"/>
      <c r="BE33" s="78" t="n"/>
      <c r="BF33" s="75" t="n"/>
      <c r="BG33" s="14" t="n"/>
      <c r="BH33" s="27" t="n"/>
      <c r="BI33" s="78" t="n"/>
      <c r="BJ33" s="78" t="n"/>
      <c r="BK33" s="78" t="n"/>
      <c r="BL33" s="78" t="n"/>
      <c r="BM33" s="78" t="n"/>
      <c r="BN33" s="78" t="n"/>
      <c r="BO33" s="75" t="n"/>
    </row>
    <row r="34" ht="4.95" customHeight="1" s="72">
      <c r="A34" s="62" t="n"/>
      <c r="B34" s="73" t="n"/>
      <c r="C34" s="73" t="n"/>
      <c r="D34" s="73" t="n"/>
      <c r="E34" s="73" t="n"/>
      <c r="F34" s="74" t="n"/>
      <c r="G34" s="17" t="n"/>
      <c r="H34" s="62" t="n"/>
      <c r="I34" s="73" t="n"/>
      <c r="J34" s="73" t="n"/>
      <c r="K34" s="73" t="n"/>
      <c r="L34" s="73" t="n"/>
      <c r="M34" s="74" t="n"/>
      <c r="N34" s="17" t="n"/>
      <c r="O34" s="66" t="n"/>
      <c r="P34" s="73" t="n"/>
      <c r="Q34" s="73" t="n"/>
      <c r="R34" s="73" t="n"/>
      <c r="S34" s="73" t="n"/>
      <c r="T34" s="73" t="n"/>
      <c r="U34" s="73" t="n"/>
      <c r="V34" s="74" t="n"/>
      <c r="W34" s="17" t="n"/>
      <c r="X34" s="67" t="n"/>
      <c r="Y34" s="73" t="n"/>
      <c r="Z34" s="73" t="n"/>
      <c r="AA34" s="73" t="n"/>
      <c r="AB34" s="73" t="n"/>
      <c r="AC34" s="73" t="n"/>
      <c r="AD34" s="73" t="n"/>
      <c r="AE34" s="74" t="n"/>
      <c r="AF34" s="17" t="n"/>
      <c r="AG34" s="67" t="n"/>
      <c r="AH34" s="73" t="n"/>
      <c r="AI34" s="73" t="n"/>
      <c r="AJ34" s="73" t="n"/>
      <c r="AK34" s="73" t="n"/>
      <c r="AL34" s="73" t="n"/>
      <c r="AM34" s="73" t="n"/>
      <c r="AN34" s="74" t="n"/>
      <c r="AO34" s="17" t="n"/>
      <c r="AP34" s="67" t="n"/>
      <c r="AQ34" s="73" t="n"/>
      <c r="AR34" s="73" t="n"/>
      <c r="AS34" s="73" t="n"/>
      <c r="AT34" s="73" t="n"/>
      <c r="AU34" s="73" t="n"/>
      <c r="AV34" s="73" t="n"/>
      <c r="AW34" s="74" t="n"/>
      <c r="AX34" s="17" t="n"/>
      <c r="AY34" s="68" t="n"/>
      <c r="AZ34" s="73" t="n"/>
      <c r="BA34" s="73" t="n"/>
      <c r="BB34" s="73" t="n"/>
      <c r="BC34" s="73" t="n"/>
      <c r="BD34" s="73" t="n"/>
      <c r="BE34" s="73" t="n"/>
      <c r="BF34" s="74" t="n"/>
      <c r="BG34" s="17" t="n"/>
      <c r="BH34" s="68" t="n"/>
      <c r="BI34" s="73" t="n"/>
      <c r="BJ34" s="73" t="n"/>
      <c r="BK34" s="73" t="n"/>
      <c r="BL34" s="73" t="n"/>
      <c r="BM34" s="73" t="n"/>
      <c r="BN34" s="73" t="n"/>
      <c r="BO34" s="74" t="n"/>
    </row>
  </sheetData>
  <mergeCells count="384">
    <mergeCell ref="AP18:AP19"/>
    <mergeCell ref="A15:B15"/>
    <mergeCell ref="X2:Y2"/>
    <mergeCell ref="P23:U23"/>
    <mergeCell ref="O33:V33"/>
    <mergeCell ref="P16:U16"/>
    <mergeCell ref="AY4:AZ4"/>
    <mergeCell ref="Y28:AD28"/>
    <mergeCell ref="AQ14:AV14"/>
    <mergeCell ref="BH2:BI2"/>
    <mergeCell ref="P18:U18"/>
    <mergeCell ref="AH26:AM26"/>
    <mergeCell ref="X14:X15"/>
    <mergeCell ref="AY29:BF29"/>
    <mergeCell ref="AP16:AP17"/>
    <mergeCell ref="H2:M5"/>
    <mergeCell ref="AZ28:BE28"/>
    <mergeCell ref="AY16:AY17"/>
    <mergeCell ref="BF10:BF11"/>
    <mergeCell ref="AY31:BF31"/>
    <mergeCell ref="AR6:AW7"/>
    <mergeCell ref="BH20:BH21"/>
    <mergeCell ref="BO10:BO11"/>
    <mergeCell ref="E3:F3"/>
    <mergeCell ref="AY18:AY19"/>
    <mergeCell ref="A17:D17"/>
    <mergeCell ref="E5:F5"/>
    <mergeCell ref="A19:D19"/>
    <mergeCell ref="Y16:AD16"/>
    <mergeCell ref="B2:C2"/>
    <mergeCell ref="V27:V28"/>
    <mergeCell ref="AQ10:AV10"/>
    <mergeCell ref="Y18:AD18"/>
    <mergeCell ref="AE23:AE24"/>
    <mergeCell ref="X3:Y3"/>
    <mergeCell ref="X20:X21"/>
    <mergeCell ref="A28:F28"/>
    <mergeCell ref="P24:U24"/>
    <mergeCell ref="H18:M18"/>
    <mergeCell ref="X5:Y5"/>
    <mergeCell ref="BH29:BO29"/>
    <mergeCell ref="BF25:BF26"/>
    <mergeCell ref="A30:F30"/>
    <mergeCell ref="P26:U26"/>
    <mergeCell ref="BI12:BN12"/>
    <mergeCell ref="BO23:BO24"/>
    <mergeCell ref="H1:M1"/>
    <mergeCell ref="D15:E15"/>
    <mergeCell ref="BA6:BF7"/>
    <mergeCell ref="X1:AE1"/>
    <mergeCell ref="Y15:AD15"/>
    <mergeCell ref="BI14:BN14"/>
    <mergeCell ref="AZ9:BE9"/>
    <mergeCell ref="BI13:BN13"/>
    <mergeCell ref="AQ21:AV21"/>
    <mergeCell ref="Z3:AE3"/>
    <mergeCell ref="AE18:AE19"/>
    <mergeCell ref="AY32:BF32"/>
    <mergeCell ref="Z5:AE5"/>
    <mergeCell ref="O25:O26"/>
    <mergeCell ref="O12:O13"/>
    <mergeCell ref="X10:X11"/>
    <mergeCell ref="Q2:V2"/>
    <mergeCell ref="BI25:BN25"/>
    <mergeCell ref="A34:F34"/>
    <mergeCell ref="AN27:AN28"/>
    <mergeCell ref="AH13:AM13"/>
    <mergeCell ref="BA2:BF2"/>
    <mergeCell ref="B5:C5"/>
    <mergeCell ref="A1:F1"/>
    <mergeCell ref="AP12:AP13"/>
    <mergeCell ref="AE16:AE17"/>
    <mergeCell ref="AP14:AP15"/>
    <mergeCell ref="P27:U27"/>
    <mergeCell ref="BH32:BO32"/>
    <mergeCell ref="AW18:AW19"/>
    <mergeCell ref="BI15:BN15"/>
    <mergeCell ref="AQ23:AV23"/>
    <mergeCell ref="AG2:AH2"/>
    <mergeCell ref="AZ27:BE27"/>
    <mergeCell ref="AR5:AW5"/>
    <mergeCell ref="AP27:AP28"/>
    <mergeCell ref="AQ24:AV24"/>
    <mergeCell ref="AH28:AM28"/>
    <mergeCell ref="O14:O15"/>
    <mergeCell ref="H7:M17"/>
    <mergeCell ref="AQ26:AV26"/>
    <mergeCell ref="AW23:AW24"/>
    <mergeCell ref="V18:V19"/>
    <mergeCell ref="Q5:V5"/>
    <mergeCell ref="BF16:BF17"/>
    <mergeCell ref="BI28:BN28"/>
    <mergeCell ref="BH16:BH17"/>
    <mergeCell ref="BA3:BF3"/>
    <mergeCell ref="BF18:BF19"/>
    <mergeCell ref="BH18:BH19"/>
    <mergeCell ref="BA5:BF5"/>
    <mergeCell ref="D9:F9"/>
    <mergeCell ref="AH16:AM16"/>
    <mergeCell ref="X33:AE33"/>
    <mergeCell ref="AG12:AG13"/>
    <mergeCell ref="A16:D16"/>
    <mergeCell ref="AE20:AE21"/>
    <mergeCell ref="AG20:AG21"/>
    <mergeCell ref="AG3:AH3"/>
    <mergeCell ref="AG14:AG15"/>
    <mergeCell ref="Y24:AD24"/>
    <mergeCell ref="AG5:AH5"/>
    <mergeCell ref="H19:M33"/>
    <mergeCell ref="A22:D22"/>
    <mergeCell ref="BF27:BF28"/>
    <mergeCell ref="Y19:AD19"/>
    <mergeCell ref="AG1:AN1"/>
    <mergeCell ref="BI18:BN18"/>
    <mergeCell ref="A32:C32"/>
    <mergeCell ref="AW14:AW15"/>
    <mergeCell ref="AI3:AN3"/>
    <mergeCell ref="AI5:AN5"/>
    <mergeCell ref="V12:V13"/>
    <mergeCell ref="AE27:AE28"/>
    <mergeCell ref="Q6:V7"/>
    <mergeCell ref="AZ10:BE10"/>
    <mergeCell ref="AH24:AM24"/>
    <mergeCell ref="AH18:AM18"/>
    <mergeCell ref="AQ22:AV22"/>
    <mergeCell ref="P9:U9"/>
    <mergeCell ref="H34:M34"/>
    <mergeCell ref="AH17:AM17"/>
    <mergeCell ref="AW27:AW28"/>
    <mergeCell ref="Y21:AD21"/>
    <mergeCell ref="P11:U11"/>
    <mergeCell ref="AH19:AM19"/>
    <mergeCell ref="BJ2:BO2"/>
    <mergeCell ref="Y26:AD26"/>
    <mergeCell ref="A26:F26"/>
    <mergeCell ref="AN16:AN17"/>
    <mergeCell ref="AY14:AY15"/>
    <mergeCell ref="AN18:AN19"/>
    <mergeCell ref="Y27:AD27"/>
    <mergeCell ref="D33:F33"/>
    <mergeCell ref="AZ21:BE21"/>
    <mergeCell ref="AP30:AW30"/>
    <mergeCell ref="AZ23:BE23"/>
    <mergeCell ref="AG6:AH7"/>
    <mergeCell ref="AP2:AQ2"/>
    <mergeCell ref="BI27:BN27"/>
    <mergeCell ref="AY1:BF1"/>
    <mergeCell ref="V25:V26"/>
    <mergeCell ref="X25:X26"/>
    <mergeCell ref="AY27:AY28"/>
    <mergeCell ref="X12:X13"/>
    <mergeCell ref="AZ24:BE24"/>
    <mergeCell ref="Y9:AD9"/>
    <mergeCell ref="AG10:AG11"/>
    <mergeCell ref="BH27:BH28"/>
    <mergeCell ref="V20:V21"/>
    <mergeCell ref="V14:V15"/>
    <mergeCell ref="Y11:AD11"/>
    <mergeCell ref="O34:V34"/>
    <mergeCell ref="BH12:BH13"/>
    <mergeCell ref="AI4:AN4"/>
    <mergeCell ref="X32:AE32"/>
    <mergeCell ref="P17:U17"/>
    <mergeCell ref="O30:V30"/>
    <mergeCell ref="BH3:BI3"/>
    <mergeCell ref="A23:F23"/>
    <mergeCell ref="P19:U19"/>
    <mergeCell ref="O29:V29"/>
    <mergeCell ref="AH27:AM27"/>
    <mergeCell ref="BO16:BO17"/>
    <mergeCell ref="AW20:AW21"/>
    <mergeCell ref="BH5:BI5"/>
    <mergeCell ref="AY20:AY21"/>
    <mergeCell ref="P12:U12"/>
    <mergeCell ref="AZ17:BE17"/>
    <mergeCell ref="BJ3:BO3"/>
    <mergeCell ref="O31:V31"/>
    <mergeCell ref="BO18:BO19"/>
    <mergeCell ref="P14:U14"/>
    <mergeCell ref="AH22:AM22"/>
    <mergeCell ref="AY2:AZ2"/>
    <mergeCell ref="BH1:BO1"/>
    <mergeCell ref="BJ5:BO5"/>
    <mergeCell ref="AP25:AP26"/>
    <mergeCell ref="AG33:AN33"/>
    <mergeCell ref="AP3:AQ3"/>
    <mergeCell ref="A20:D20"/>
    <mergeCell ref="X16:X17"/>
    <mergeCell ref="Y17:AD17"/>
    <mergeCell ref="AG34:AN34"/>
    <mergeCell ref="AZ26:BE26"/>
    <mergeCell ref="AP5:AQ5"/>
    <mergeCell ref="P21:U21"/>
    <mergeCell ref="Y12:AD12"/>
    <mergeCell ref="AP1:AW1"/>
    <mergeCell ref="A29:F29"/>
    <mergeCell ref="A31:F31"/>
    <mergeCell ref="P20:U20"/>
    <mergeCell ref="AY25:AY26"/>
    <mergeCell ref="P22:U22"/>
    <mergeCell ref="AY12:AY13"/>
    <mergeCell ref="AQ16:AV16"/>
    <mergeCell ref="AZ20:BE20"/>
    <mergeCell ref="AY3:AZ3"/>
    <mergeCell ref="B3:C3"/>
    <mergeCell ref="Z6:AE7"/>
    <mergeCell ref="BI10:BN10"/>
    <mergeCell ref="AQ18:AV18"/>
    <mergeCell ref="AN20:AN21"/>
    <mergeCell ref="AZ22:BE22"/>
    <mergeCell ref="AP20:AP21"/>
    <mergeCell ref="AQ17:AV17"/>
    <mergeCell ref="Y25:AD25"/>
    <mergeCell ref="AQ19:AV19"/>
    <mergeCell ref="AW16:AW17"/>
    <mergeCell ref="BO12:BO13"/>
    <mergeCell ref="AR3:AW3"/>
    <mergeCell ref="BO14:BO15"/>
    <mergeCell ref="O23:O24"/>
    <mergeCell ref="BI21:BN21"/>
    <mergeCell ref="O10:O11"/>
    <mergeCell ref="P10:U10"/>
    <mergeCell ref="AY30:BF30"/>
    <mergeCell ref="BI23:BN23"/>
    <mergeCell ref="BH30:BO30"/>
    <mergeCell ref="AQ12:AV12"/>
    <mergeCell ref="O18:O19"/>
    <mergeCell ref="AE25:AE26"/>
    <mergeCell ref="AE12:AE13"/>
    <mergeCell ref="D7:F7"/>
    <mergeCell ref="AH9:AM9"/>
    <mergeCell ref="AP23:AP24"/>
    <mergeCell ref="BO27:BO28"/>
    <mergeCell ref="AP10:AP11"/>
    <mergeCell ref="AE14:AE15"/>
    <mergeCell ref="AH11:AM11"/>
    <mergeCell ref="BO25:BO26"/>
    <mergeCell ref="X34:AE34"/>
    <mergeCell ref="D8:F8"/>
    <mergeCell ref="O4:P4"/>
    <mergeCell ref="AG32:AN32"/>
    <mergeCell ref="BJ6:BO7"/>
    <mergeCell ref="X30:AE30"/>
    <mergeCell ref="O6:P7"/>
    <mergeCell ref="BI9:BN9"/>
    <mergeCell ref="X29:AE29"/>
    <mergeCell ref="AQ27:AV27"/>
    <mergeCell ref="D12:E12"/>
    <mergeCell ref="BF20:BF21"/>
    <mergeCell ref="AQ20:AV20"/>
    <mergeCell ref="BI11:BN11"/>
    <mergeCell ref="AQ25:AV25"/>
    <mergeCell ref="AY34:BF34"/>
    <mergeCell ref="D14:E14"/>
    <mergeCell ref="X27:X28"/>
    <mergeCell ref="AG25:AG26"/>
    <mergeCell ref="AP6:AQ7"/>
    <mergeCell ref="Q4:V4"/>
    <mergeCell ref="AY23:AY24"/>
    <mergeCell ref="O16:O17"/>
    <mergeCell ref="AP33:AW33"/>
    <mergeCell ref="Z2:AE2"/>
    <mergeCell ref="BF12:BF13"/>
    <mergeCell ref="BI24:BN24"/>
    <mergeCell ref="BH31:BO31"/>
    <mergeCell ref="AQ13:AV13"/>
    <mergeCell ref="BA4:BF4"/>
    <mergeCell ref="BF14:BF15"/>
    <mergeCell ref="BI26:BN26"/>
    <mergeCell ref="BH14:BH15"/>
    <mergeCell ref="AQ15:AV15"/>
    <mergeCell ref="Y23:AD23"/>
    <mergeCell ref="A9:C9"/>
    <mergeCell ref="AW12:AW13"/>
    <mergeCell ref="BO20:BO21"/>
    <mergeCell ref="D10:F10"/>
    <mergeCell ref="AH12:AM12"/>
    <mergeCell ref="BH34:BO34"/>
    <mergeCell ref="A6:F6"/>
    <mergeCell ref="AH14:AM14"/>
    <mergeCell ref="BI17:BN17"/>
    <mergeCell ref="AG23:AG24"/>
    <mergeCell ref="H6:M6"/>
    <mergeCell ref="X31:AE31"/>
    <mergeCell ref="AG4:AH4"/>
    <mergeCell ref="Y20:AD20"/>
    <mergeCell ref="Y14:AD14"/>
    <mergeCell ref="BI19:BN19"/>
    <mergeCell ref="BH25:BH26"/>
    <mergeCell ref="AY33:BF33"/>
    <mergeCell ref="Y22:AD22"/>
    <mergeCell ref="AZ16:BE16"/>
    <mergeCell ref="D13:E13"/>
    <mergeCell ref="BI20:BN20"/>
    <mergeCell ref="AQ28:AV28"/>
    <mergeCell ref="AZ18:BE18"/>
    <mergeCell ref="AE10:AE11"/>
    <mergeCell ref="AZ11:BE11"/>
    <mergeCell ref="AH25:AM25"/>
    <mergeCell ref="AP34:AW34"/>
    <mergeCell ref="AY5:AZ5"/>
    <mergeCell ref="O27:O28"/>
    <mergeCell ref="AG18:AG19"/>
    <mergeCell ref="O2:P2"/>
    <mergeCell ref="AP4:AQ4"/>
    <mergeCell ref="O3:P3"/>
    <mergeCell ref="AH20:AM20"/>
    <mergeCell ref="Y10:AD10"/>
    <mergeCell ref="A27:F27"/>
    <mergeCell ref="AR4:AW4"/>
    <mergeCell ref="E4:F4"/>
    <mergeCell ref="AH15:AM15"/>
    <mergeCell ref="AP29:AW29"/>
    <mergeCell ref="O1:V1"/>
    <mergeCell ref="AN25:AN26"/>
    <mergeCell ref="AG16:AG17"/>
    <mergeCell ref="AN12:AN13"/>
    <mergeCell ref="AQ9:AV9"/>
    <mergeCell ref="AP31:AW31"/>
    <mergeCell ref="AW10:AW11"/>
    <mergeCell ref="AI6:AN7"/>
    <mergeCell ref="AY10:AY11"/>
    <mergeCell ref="AN14:AN15"/>
    <mergeCell ref="BI22:BN22"/>
    <mergeCell ref="Q3:V3"/>
    <mergeCell ref="X4:Y4"/>
    <mergeCell ref="A11:F11"/>
    <mergeCell ref="P25:U25"/>
    <mergeCell ref="AZ19:BE19"/>
    <mergeCell ref="AG30:AN30"/>
    <mergeCell ref="X6:Y7"/>
    <mergeCell ref="A7:C7"/>
    <mergeCell ref="BH4:BI4"/>
    <mergeCell ref="AH10:AM10"/>
    <mergeCell ref="D32:F32"/>
    <mergeCell ref="V23:V24"/>
    <mergeCell ref="O20:O21"/>
    <mergeCell ref="X23:X24"/>
    <mergeCell ref="V10:V11"/>
    <mergeCell ref="O5:P5"/>
    <mergeCell ref="AW25:AW26"/>
    <mergeCell ref="AY6:AZ7"/>
    <mergeCell ref="P13:U13"/>
    <mergeCell ref="AZ12:BE12"/>
    <mergeCell ref="Z4:AE4"/>
    <mergeCell ref="O32:V32"/>
    <mergeCell ref="BF23:BF24"/>
    <mergeCell ref="BH23:BH24"/>
    <mergeCell ref="X18:X19"/>
    <mergeCell ref="A12:B12"/>
    <mergeCell ref="BH10:BH11"/>
    <mergeCell ref="AI2:AN2"/>
    <mergeCell ref="P15:U15"/>
    <mergeCell ref="AZ14:BE14"/>
    <mergeCell ref="A14:B14"/>
    <mergeCell ref="AZ13:BE13"/>
    <mergeCell ref="AH21:AM21"/>
    <mergeCell ref="BJ4:BO4"/>
    <mergeCell ref="AQ11:AV11"/>
    <mergeCell ref="A21:D21"/>
    <mergeCell ref="AZ15:BE15"/>
    <mergeCell ref="AH23:AM23"/>
    <mergeCell ref="AP32:AW32"/>
    <mergeCell ref="B4:C4"/>
    <mergeCell ref="AG27:AG28"/>
    <mergeCell ref="AG29:AN29"/>
    <mergeCell ref="AZ25:BE25"/>
    <mergeCell ref="AG31:AN31"/>
    <mergeCell ref="A33:C33"/>
    <mergeCell ref="A8:C8"/>
    <mergeCell ref="BH6:BI7"/>
    <mergeCell ref="P28:U28"/>
    <mergeCell ref="Y13:AD13"/>
    <mergeCell ref="BH33:BO33"/>
    <mergeCell ref="A10:C10"/>
    <mergeCell ref="AR2:AW2"/>
    <mergeCell ref="E2:F2"/>
    <mergeCell ref="BI16:BN16"/>
    <mergeCell ref="V16:V17"/>
    <mergeCell ref="AN23:AN24"/>
    <mergeCell ref="AN10:AN11"/>
    <mergeCell ref="A18:D18"/>
    <mergeCell ref="A13:B13"/>
    <mergeCell ref="A25:F25"/>
  </mergeCells>
  <conditionalFormatting sqref="O1:V1 O2:P5 O6 O8 O9:V9 O10:O28 O29:V29 O34:V34 P22:V22 S8">
    <cfRule type="expression" priority="7" dxfId="1">
      <formula>$Q$2="神法主题"</formula>
    </cfRule>
    <cfRule type="expression" priority="8" dxfId="0">
      <formula>$Q$2="理法主题"</formula>
    </cfRule>
  </conditionalFormatting>
  <conditionalFormatting sqref="X1:AE1 X2:Y5 X6 X8 X9:AE9 X10:X28 X29:AE29 X34:AE34 Y22:AE22 AB8">
    <cfRule type="expression" priority="5" dxfId="0">
      <formula>$Z$2="理法主题"</formula>
    </cfRule>
    <cfRule type="expression" priority="6" dxfId="1">
      <formula>$Z$2="神法主题"</formula>
    </cfRule>
  </conditionalFormatting>
  <conditionalFormatting sqref="AG1:AN1 AG2:AH5 AG6 AG8 AG9:AN9 AG10:AG28 AG29:AN29 AG34:AN34 AH22:AN22 AK8">
    <cfRule type="expression" priority="3" dxfId="0">
      <formula>$AI$2="理法主题"</formula>
    </cfRule>
    <cfRule type="expression" priority="4" dxfId="1">
      <formula>$AI$2="神法主题"</formula>
    </cfRule>
  </conditionalFormatting>
  <conditionalFormatting sqref="AP1:AW1 AP2:AQ5 AP6 AP8 AP9:AW9 AP10:AP28 AP29:AW29 AP34:AW34 AQ22:AW22 AT8">
    <cfRule type="expression" priority="1" dxfId="0">
      <formula>$AR$2="理法主题"</formula>
    </cfRule>
    <cfRule type="expression" priority="2" dxfId="1">
      <formula>$AR$2="神法主题"</formula>
    </cfRule>
  </conditionalFormatting>
  <dataValidations count="3">
    <dataValidation sqref="B24:F24 G30 N30 P8:R8 T8:V8 V10:V28 W30 Y8:AA8 AC8:AE8 AE10:AE28 AF30 AH8:AJ8 AL8:AN8 AN10:AN21 AN23:AN28 AO30 AQ8:AS8 AU8:AW8 AW10:AW21 AW23:AW28 AX30 AZ8:BB8 BD8:BF8 BF10:BF21 BF23:BF28 BG30 BI8:BK8 BM8:BO8 BO10:BO21 BO23:BO28" showDropDown="0" showInputMessage="1" showErrorMessage="1" allowBlank="1" type="list">
      <formula1>"○,●"</formula1>
    </dataValidation>
    <dataValidation sqref="C12:C15 F12:F15 G22:G23 N22:N23 W22:W23 AF22:AF23 AO22:AO23 AX22:AX23 BG22:BG23" showDropDown="0" showInputMessage="1" showErrorMessage="1" allowBlank="1" type="list">
      <formula1>"1,2,3,4,5,6"</formula1>
    </dataValidation>
    <dataValidation sqref="Q2:V2 Z2:AE2 AI2:AN2 AR2:AW2" showDropDown="0" showInputMessage="1" showErrorMessage="1" allowBlank="1" type="list">
      <formula1>"理法主题,神法主题"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U18"/>
  <sheetViews>
    <sheetView showGridLines="0" workbookViewId="0">
      <selection activeCell="U17" sqref="U17"/>
    </sheetView>
  </sheetViews>
  <sheetFormatPr baseColWidth="8" defaultRowHeight="14.4"/>
  <cols>
    <col width="7.21875" customWidth="1" style="72" min="1" max="2"/>
    <col width="7.21875" customWidth="1" style="72" min="10" max="11"/>
  </cols>
  <sheetData>
    <row r="1" ht="18" customHeight="1" s="72">
      <c r="A1" s="42" t="inlineStr">
        <is>
          <t>自定义理法主题</t>
        </is>
      </c>
      <c r="B1" s="95" t="n"/>
      <c r="C1" s="95" t="n"/>
      <c r="D1" s="95" t="n"/>
      <c r="E1" s="95" t="n"/>
      <c r="F1" s="95" t="n"/>
      <c r="G1" s="95" t="n"/>
      <c r="H1" s="96" t="n"/>
      <c r="I1" s="18" t="n"/>
      <c r="J1" s="56" t="inlineStr">
        <is>
          <t>自定义神法主题</t>
        </is>
      </c>
      <c r="K1" s="95" t="n"/>
      <c r="L1" s="95" t="n"/>
      <c r="M1" s="95" t="n"/>
      <c r="N1" s="95" t="n"/>
      <c r="O1" s="95" t="n"/>
      <c r="P1" s="95" t="n"/>
      <c r="Q1" s="96" t="n"/>
      <c r="S1" s="97" t="inlineStr">
        <is>
          <t>此表可以自创主题，或者加入未列入的拓展主题，填写相应的主题问题，就可以在主题列表里找到啦</t>
        </is>
      </c>
      <c r="T1" s="98" t="n"/>
      <c r="U1" s="99" t="n"/>
    </row>
    <row r="2" ht="18" customHeight="1" s="72">
      <c r="A2" s="45" t="inlineStr">
        <is>
          <t>主题问卷名称</t>
        </is>
      </c>
      <c r="B2" s="100" t="n"/>
      <c r="C2" s="47" t="inlineStr">
        <is>
          <t>自定义理法</t>
        </is>
      </c>
      <c r="D2" s="101" t="n"/>
      <c r="E2" s="101" t="n"/>
      <c r="F2" s="101" t="n"/>
      <c r="G2" s="101" t="n"/>
      <c r="H2" s="102" t="n"/>
      <c r="I2" s="18" t="n"/>
      <c r="J2" s="45" t="inlineStr">
        <is>
          <t>主题问卷名称</t>
        </is>
      </c>
      <c r="K2" s="100" t="n"/>
      <c r="L2" s="47" t="inlineStr">
        <is>
          <t>自定义神法</t>
        </is>
      </c>
      <c r="M2" s="101" t="n"/>
      <c r="N2" s="101" t="n"/>
      <c r="O2" s="101" t="n"/>
      <c r="P2" s="101" t="n"/>
      <c r="Q2" s="102" t="n"/>
      <c r="S2" s="103" t="n"/>
      <c r="U2" s="104" t="n"/>
    </row>
    <row r="3" ht="18" customHeight="1" s="72">
      <c r="A3" s="49" t="inlineStr">
        <is>
          <t>力量标签问题</t>
        </is>
      </c>
      <c r="B3" s="101" t="n"/>
      <c r="C3" s="101" t="n"/>
      <c r="D3" s="101" t="n"/>
      <c r="E3" s="101" t="n"/>
      <c r="F3" s="101" t="n"/>
      <c r="G3" s="101" t="n"/>
      <c r="H3" s="102" t="n"/>
      <c r="I3" s="18" t="n"/>
      <c r="J3" s="59" t="inlineStr">
        <is>
          <t>力量标签问题</t>
        </is>
      </c>
      <c r="K3" s="101" t="n"/>
      <c r="L3" s="101" t="n"/>
      <c r="M3" s="101" t="n"/>
      <c r="N3" s="101" t="n"/>
      <c r="O3" s="101" t="n"/>
      <c r="P3" s="101" t="n"/>
      <c r="Q3" s="102" t="n"/>
      <c r="S3" s="103" t="n"/>
      <c r="U3" s="104" t="n"/>
    </row>
    <row r="4" ht="18" customHeight="1" s="72">
      <c r="A4" s="45" t="inlineStr">
        <is>
          <t>A</t>
        </is>
      </c>
      <c r="B4" s="100" t="n"/>
      <c r="C4" s="47" t="inlineStr">
        <is>
          <t> </t>
        </is>
      </c>
      <c r="D4" s="101" t="n"/>
      <c r="E4" s="101" t="n"/>
      <c r="F4" s="101" t="n"/>
      <c r="G4" s="101" t="n"/>
      <c r="H4" s="102" t="n"/>
      <c r="I4" s="18" t="n"/>
      <c r="J4" s="45" t="inlineStr">
        <is>
          <t>A</t>
        </is>
      </c>
      <c r="K4" s="100" t="n"/>
      <c r="L4" s="47" t="inlineStr">
        <is>
          <t> </t>
        </is>
      </c>
      <c r="M4" s="101" t="n"/>
      <c r="N4" s="101" t="n"/>
      <c r="O4" s="101" t="n"/>
      <c r="P4" s="101" t="n"/>
      <c r="Q4" s="102" t="n"/>
      <c r="S4" s="103" t="n"/>
      <c r="U4" s="104" t="n"/>
    </row>
    <row r="5" ht="18" customHeight="1" s="72" thickBot="1">
      <c r="A5" s="52" t="inlineStr">
        <is>
          <t>B</t>
        </is>
      </c>
      <c r="B5" s="100" t="n"/>
      <c r="C5" s="54" t="inlineStr">
        <is>
          <t> </t>
        </is>
      </c>
      <c r="D5" s="101" t="n"/>
      <c r="E5" s="101" t="n"/>
      <c r="F5" s="101" t="n"/>
      <c r="G5" s="101" t="n"/>
      <c r="H5" s="102" t="n"/>
      <c r="I5" s="18" t="n"/>
      <c r="J5" s="52" t="inlineStr">
        <is>
          <t>B</t>
        </is>
      </c>
      <c r="K5" s="100" t="n"/>
      <c r="L5" s="54" t="inlineStr">
        <is>
          <t> </t>
        </is>
      </c>
      <c r="M5" s="101" t="n"/>
      <c r="N5" s="101" t="n"/>
      <c r="O5" s="101" t="n"/>
      <c r="P5" s="101" t="n"/>
      <c r="Q5" s="102" t="n"/>
      <c r="S5" s="105" t="n"/>
      <c r="T5" s="106" t="n"/>
      <c r="U5" s="107" t="n"/>
    </row>
    <row r="6" ht="18" customHeight="1" s="72">
      <c r="A6" s="45" t="inlineStr">
        <is>
          <t>C</t>
        </is>
      </c>
      <c r="B6" s="100" t="n"/>
      <c r="C6" s="47" t="inlineStr">
        <is>
          <t> </t>
        </is>
      </c>
      <c r="D6" s="101" t="n"/>
      <c r="E6" s="101" t="n"/>
      <c r="F6" s="101" t="n"/>
      <c r="G6" s="101" t="n"/>
      <c r="H6" s="102" t="n"/>
      <c r="I6" s="18" t="n"/>
      <c r="J6" s="45" t="inlineStr">
        <is>
          <t>C</t>
        </is>
      </c>
      <c r="K6" s="100" t="n"/>
      <c r="L6" s="47" t="inlineStr">
        <is>
          <t> </t>
        </is>
      </c>
      <c r="M6" s="101" t="n"/>
      <c r="N6" s="101" t="n"/>
      <c r="O6" s="101" t="n"/>
      <c r="P6" s="101" t="n"/>
      <c r="Q6" s="102" t="n"/>
    </row>
    <row r="7" ht="18" customHeight="1" s="72">
      <c r="A7" s="52" t="inlineStr">
        <is>
          <t>D</t>
        </is>
      </c>
      <c r="B7" s="100" t="n"/>
      <c r="C7" s="54" t="inlineStr">
        <is>
          <t> </t>
        </is>
      </c>
      <c r="D7" s="101" t="n"/>
      <c r="E7" s="101" t="n"/>
      <c r="F7" s="101" t="n"/>
      <c r="G7" s="101" t="n"/>
      <c r="H7" s="102" t="n"/>
      <c r="I7" s="18" t="n"/>
      <c r="J7" s="52" t="inlineStr">
        <is>
          <t>D</t>
        </is>
      </c>
      <c r="K7" s="100" t="n"/>
      <c r="L7" s="54" t="inlineStr">
        <is>
          <t> </t>
        </is>
      </c>
      <c r="M7" s="101" t="n"/>
      <c r="N7" s="101" t="n"/>
      <c r="O7" s="101" t="n"/>
      <c r="P7" s="101" t="n"/>
      <c r="Q7" s="102" t="n"/>
    </row>
    <row r="8" ht="18" customHeight="1" s="72">
      <c r="A8" s="45" t="inlineStr">
        <is>
          <t>E</t>
        </is>
      </c>
      <c r="B8" s="100" t="n"/>
      <c r="C8" s="47" t="inlineStr">
        <is>
          <t> </t>
        </is>
      </c>
      <c r="D8" s="101" t="n"/>
      <c r="E8" s="101" t="n"/>
      <c r="F8" s="101" t="n"/>
      <c r="G8" s="101" t="n"/>
      <c r="H8" s="102" t="n"/>
      <c r="I8" s="18" t="n"/>
      <c r="J8" s="45" t="inlineStr">
        <is>
          <t>E</t>
        </is>
      </c>
      <c r="K8" s="100" t="n"/>
      <c r="L8" s="47" t="inlineStr">
        <is>
          <t> </t>
        </is>
      </c>
      <c r="M8" s="101" t="n"/>
      <c r="N8" s="101" t="n"/>
      <c r="O8" s="101" t="n"/>
      <c r="P8" s="101" t="n"/>
      <c r="Q8" s="102" t="n"/>
    </row>
    <row r="9" ht="18" customHeight="1" s="72">
      <c r="A9" s="52" t="inlineStr">
        <is>
          <t>F</t>
        </is>
      </c>
      <c r="B9" s="100" t="n"/>
      <c r="C9" s="54" t="inlineStr">
        <is>
          <t> </t>
        </is>
      </c>
      <c r="D9" s="101" t="n"/>
      <c r="E9" s="101" t="n"/>
      <c r="F9" s="101" t="n"/>
      <c r="G9" s="101" t="n"/>
      <c r="H9" s="102" t="n"/>
      <c r="I9" s="18" t="n"/>
      <c r="J9" s="52" t="inlineStr">
        <is>
          <t>F</t>
        </is>
      </c>
      <c r="K9" s="100" t="n"/>
      <c r="L9" s="54" t="inlineStr">
        <is>
          <t> </t>
        </is>
      </c>
      <c r="M9" s="101" t="n"/>
      <c r="N9" s="101" t="n"/>
      <c r="O9" s="101" t="n"/>
      <c r="P9" s="101" t="n"/>
      <c r="Q9" s="102" t="n"/>
    </row>
    <row r="10" ht="18" customHeight="1" s="72">
      <c r="A10" s="45" t="inlineStr">
        <is>
          <t>G</t>
        </is>
      </c>
      <c r="B10" s="100" t="n"/>
      <c r="C10" s="47" t="inlineStr">
        <is>
          <t> </t>
        </is>
      </c>
      <c r="D10" s="101" t="n"/>
      <c r="E10" s="101" t="n"/>
      <c r="F10" s="101" t="n"/>
      <c r="G10" s="101" t="n"/>
      <c r="H10" s="102" t="n"/>
      <c r="I10" s="18" t="n"/>
      <c r="J10" s="45" t="inlineStr">
        <is>
          <t>G</t>
        </is>
      </c>
      <c r="K10" s="100" t="n"/>
      <c r="L10" s="47" t="inlineStr">
        <is>
          <t> </t>
        </is>
      </c>
      <c r="M10" s="101" t="n"/>
      <c r="N10" s="101" t="n"/>
      <c r="O10" s="101" t="n"/>
      <c r="P10" s="101" t="n"/>
      <c r="Q10" s="102" t="n"/>
    </row>
    <row r="11" ht="18" customHeight="1" s="72">
      <c r="A11" s="52" t="inlineStr">
        <is>
          <t>H</t>
        </is>
      </c>
      <c r="B11" s="100" t="n"/>
      <c r="C11" s="54" t="inlineStr">
        <is>
          <t> </t>
        </is>
      </c>
      <c r="D11" s="101" t="n"/>
      <c r="E11" s="101" t="n"/>
      <c r="F11" s="101" t="n"/>
      <c r="G11" s="101" t="n"/>
      <c r="H11" s="102" t="n"/>
      <c r="I11" s="18" t="n"/>
      <c r="J11" s="52" t="inlineStr">
        <is>
          <t>H</t>
        </is>
      </c>
      <c r="K11" s="100" t="n"/>
      <c r="L11" s="54" t="inlineStr">
        <is>
          <t> </t>
        </is>
      </c>
      <c r="M11" s="101" t="n"/>
      <c r="N11" s="101" t="n"/>
      <c r="O11" s="101" t="n"/>
      <c r="P11" s="101" t="n"/>
      <c r="Q11" s="102" t="n"/>
    </row>
    <row r="12" ht="18" customHeight="1" s="72">
      <c r="A12" s="45" t="inlineStr">
        <is>
          <t>I</t>
        </is>
      </c>
      <c r="B12" s="100" t="n"/>
      <c r="C12" s="47" t="inlineStr">
        <is>
          <t> </t>
        </is>
      </c>
      <c r="D12" s="101" t="n"/>
      <c r="E12" s="101" t="n"/>
      <c r="F12" s="101" t="n"/>
      <c r="G12" s="101" t="n"/>
      <c r="H12" s="102" t="n"/>
      <c r="I12" s="18" t="n"/>
      <c r="J12" s="45" t="inlineStr">
        <is>
          <t>I</t>
        </is>
      </c>
      <c r="K12" s="100" t="n"/>
      <c r="L12" s="47" t="inlineStr">
        <is>
          <t> </t>
        </is>
      </c>
      <c r="M12" s="101" t="n"/>
      <c r="N12" s="101" t="n"/>
      <c r="O12" s="101" t="n"/>
      <c r="P12" s="101" t="n"/>
      <c r="Q12" s="102" t="n"/>
    </row>
    <row r="13" ht="18" customHeight="1" s="72">
      <c r="A13" s="52" t="inlineStr">
        <is>
          <t>J</t>
        </is>
      </c>
      <c r="B13" s="100" t="n"/>
      <c r="C13" s="54" t="inlineStr">
        <is>
          <t> </t>
        </is>
      </c>
      <c r="D13" s="101" t="n"/>
      <c r="E13" s="101" t="n"/>
      <c r="F13" s="101" t="n"/>
      <c r="G13" s="101" t="n"/>
      <c r="H13" s="102" t="n"/>
      <c r="I13" s="18" t="n"/>
      <c r="J13" s="52" t="inlineStr">
        <is>
          <t>J</t>
        </is>
      </c>
      <c r="K13" s="100" t="n"/>
      <c r="L13" s="54" t="inlineStr">
        <is>
          <t> </t>
        </is>
      </c>
      <c r="M13" s="101" t="n"/>
      <c r="N13" s="101" t="n"/>
      <c r="O13" s="101" t="n"/>
      <c r="P13" s="101" t="n"/>
      <c r="Q13" s="102" t="n"/>
      <c r="T13" s="21" t="n"/>
    </row>
    <row r="14" ht="18" customHeight="1" s="72">
      <c r="A14" s="49" t="inlineStr">
        <is>
          <t>弱点标签问题</t>
        </is>
      </c>
      <c r="B14" s="101" t="n"/>
      <c r="C14" s="101" t="n"/>
      <c r="D14" s="101" t="n"/>
      <c r="E14" s="101" t="n"/>
      <c r="F14" s="101" t="n"/>
      <c r="G14" s="101" t="n"/>
      <c r="H14" s="102" t="n"/>
      <c r="I14" s="18" t="n"/>
      <c r="J14" s="59" t="inlineStr">
        <is>
          <t>弱点标签问题</t>
        </is>
      </c>
      <c r="K14" s="101" t="n"/>
      <c r="L14" s="101" t="n"/>
      <c r="M14" s="101" t="n"/>
      <c r="N14" s="101" t="n"/>
      <c r="O14" s="101" t="n"/>
      <c r="P14" s="101" t="n"/>
      <c r="Q14" s="102" t="n"/>
    </row>
    <row r="15" ht="18" customHeight="1" s="72">
      <c r="A15" s="45" t="inlineStr">
        <is>
          <t>A</t>
        </is>
      </c>
      <c r="B15" s="100" t="n"/>
      <c r="C15" s="47" t="inlineStr">
        <is>
          <t> </t>
        </is>
      </c>
      <c r="D15" s="101" t="n"/>
      <c r="E15" s="101" t="n"/>
      <c r="F15" s="101" t="n"/>
      <c r="G15" s="101" t="n"/>
      <c r="H15" s="102" t="n"/>
      <c r="I15" s="18" t="n"/>
      <c r="J15" s="45" t="inlineStr">
        <is>
          <t>A</t>
        </is>
      </c>
      <c r="K15" s="100" t="n"/>
      <c r="L15" s="47" t="inlineStr">
        <is>
          <t> </t>
        </is>
      </c>
      <c r="M15" s="101" t="n"/>
      <c r="N15" s="101" t="n"/>
      <c r="O15" s="101" t="n"/>
      <c r="P15" s="101" t="n"/>
      <c r="Q15" s="102" t="n"/>
    </row>
    <row r="16" ht="18" customHeight="1" s="72">
      <c r="A16" s="52" t="inlineStr">
        <is>
          <t>B</t>
        </is>
      </c>
      <c r="B16" s="100" t="n"/>
      <c r="C16" s="54" t="inlineStr">
        <is>
          <t> </t>
        </is>
      </c>
      <c r="D16" s="101" t="n"/>
      <c r="E16" s="101" t="n"/>
      <c r="F16" s="101" t="n"/>
      <c r="G16" s="101" t="n"/>
      <c r="H16" s="102" t="n"/>
      <c r="I16" s="18" t="n"/>
      <c r="J16" s="52" t="inlineStr">
        <is>
          <t>B</t>
        </is>
      </c>
      <c r="K16" s="100" t="n"/>
      <c r="L16" s="54" t="inlineStr">
        <is>
          <t> </t>
        </is>
      </c>
      <c r="M16" s="101" t="n"/>
      <c r="N16" s="101" t="n"/>
      <c r="O16" s="101" t="n"/>
      <c r="P16" s="101" t="n"/>
      <c r="Q16" s="102" t="n"/>
    </row>
    <row r="17" ht="18" customHeight="1" s="72">
      <c r="A17" s="45" t="inlineStr">
        <is>
          <t>C</t>
        </is>
      </c>
      <c r="B17" s="100" t="n"/>
      <c r="C17" s="47" t="inlineStr">
        <is>
          <t> </t>
        </is>
      </c>
      <c r="D17" s="101" t="n"/>
      <c r="E17" s="101" t="n"/>
      <c r="F17" s="101" t="n"/>
      <c r="G17" s="101" t="n"/>
      <c r="H17" s="102" t="n"/>
      <c r="I17" s="18" t="n"/>
      <c r="J17" s="45" t="inlineStr">
        <is>
          <t>C</t>
        </is>
      </c>
      <c r="K17" s="100" t="n"/>
      <c r="L17" s="47" t="inlineStr">
        <is>
          <t> </t>
        </is>
      </c>
      <c r="M17" s="101" t="n"/>
      <c r="N17" s="101" t="n"/>
      <c r="O17" s="101" t="n"/>
      <c r="P17" s="101" t="n"/>
      <c r="Q17" s="102" t="n"/>
    </row>
    <row r="18" ht="18" customHeight="1" s="72">
      <c r="A18" s="52" t="inlineStr">
        <is>
          <t>D</t>
        </is>
      </c>
      <c r="B18" s="100" t="n"/>
      <c r="C18" s="54" t="inlineStr">
        <is>
          <t> </t>
        </is>
      </c>
      <c r="D18" s="101" t="n"/>
      <c r="E18" s="101" t="n"/>
      <c r="F18" s="101" t="n"/>
      <c r="G18" s="101" t="n"/>
      <c r="H18" s="102" t="n"/>
      <c r="I18" s="18" t="n"/>
      <c r="J18" s="52" t="inlineStr">
        <is>
          <t>D</t>
        </is>
      </c>
      <c r="K18" s="100" t="n"/>
      <c r="L18" s="54" t="inlineStr">
        <is>
          <t> </t>
        </is>
      </c>
      <c r="M18" s="101" t="n"/>
      <c r="N18" s="101" t="n"/>
      <c r="O18" s="101" t="n"/>
      <c r="P18" s="101" t="n"/>
      <c r="Q18" s="102" t="n"/>
    </row>
  </sheetData>
  <mergeCells count="67">
    <mergeCell ref="C10:H10"/>
    <mergeCell ref="C16:H16"/>
    <mergeCell ref="L15:Q15"/>
    <mergeCell ref="A15:B15"/>
    <mergeCell ref="J5:K5"/>
    <mergeCell ref="L5:Q5"/>
    <mergeCell ref="A11:B11"/>
    <mergeCell ref="L18:Q18"/>
    <mergeCell ref="J10:K10"/>
    <mergeCell ref="J14:Q14"/>
    <mergeCell ref="C9:H9"/>
    <mergeCell ref="J1:Q1"/>
    <mergeCell ref="L8:Q8"/>
    <mergeCell ref="A1:H1"/>
    <mergeCell ref="C12:H12"/>
    <mergeCell ref="J13:K13"/>
    <mergeCell ref="A6:B6"/>
    <mergeCell ref="L4:Q4"/>
    <mergeCell ref="J9:K9"/>
    <mergeCell ref="C11:H11"/>
    <mergeCell ref="A16:B16"/>
    <mergeCell ref="C2:H2"/>
    <mergeCell ref="A7:B7"/>
    <mergeCell ref="J6:K6"/>
    <mergeCell ref="L10:Q10"/>
    <mergeCell ref="J15:K15"/>
    <mergeCell ref="C8:H8"/>
    <mergeCell ref="L9:Q9"/>
    <mergeCell ref="C17:H17"/>
    <mergeCell ref="A18:B18"/>
    <mergeCell ref="C7:H7"/>
    <mergeCell ref="L6:Q6"/>
    <mergeCell ref="A12:B12"/>
    <mergeCell ref="J4:K4"/>
    <mergeCell ref="A2:B2"/>
    <mergeCell ref="J11:K11"/>
    <mergeCell ref="A3:H3"/>
    <mergeCell ref="L11:Q11"/>
    <mergeCell ref="J16:K16"/>
    <mergeCell ref="C13:H13"/>
    <mergeCell ref="J7:K7"/>
    <mergeCell ref="A5:B5"/>
    <mergeCell ref="S1:U5"/>
    <mergeCell ref="C18:H18"/>
    <mergeCell ref="A14:H14"/>
    <mergeCell ref="L17:Q17"/>
    <mergeCell ref="A17:B17"/>
    <mergeCell ref="A8:B8"/>
    <mergeCell ref="L2:Q2"/>
    <mergeCell ref="C15:H15"/>
    <mergeCell ref="L16:Q16"/>
    <mergeCell ref="A4:B4"/>
    <mergeCell ref="C6:H6"/>
    <mergeCell ref="L7:Q7"/>
    <mergeCell ref="J12:K12"/>
    <mergeCell ref="J3:Q3"/>
    <mergeCell ref="J2:K2"/>
    <mergeCell ref="C5:H5"/>
    <mergeCell ref="A10:B10"/>
    <mergeCell ref="J18:K18"/>
    <mergeCell ref="L13:Q13"/>
    <mergeCell ref="A13:B13"/>
    <mergeCell ref="C4:H4"/>
    <mergeCell ref="A9:B9"/>
    <mergeCell ref="J8:K8"/>
    <mergeCell ref="L12:Q12"/>
    <mergeCell ref="J17:K17"/>
  </mergeCells>
  <conditionalFormatting sqref="A2:B2 A15:B18 J15:K18">
    <cfRule type="expression" priority="11" dxfId="1">
      <formula>$X$2="神法主题"</formula>
    </cfRule>
    <cfRule type="expression" priority="12" dxfId="0">
      <formula>$X$2="理法主题"</formula>
    </cfRule>
  </conditionalFormatting>
  <conditionalFormatting sqref="A4:B13">
    <cfRule type="expression" priority="7" dxfId="1">
      <formula>$X$2="神法主题"</formula>
    </cfRule>
    <cfRule type="expression" priority="8" dxfId="0">
      <formula>$X$2="理法主题"</formula>
    </cfRule>
  </conditionalFormatting>
  <conditionalFormatting sqref="A1:H1">
    <cfRule type="expression" priority="13" dxfId="1">
      <formula>$X$2="神法主题"</formula>
    </cfRule>
    <cfRule type="expression" priority="14" dxfId="0">
      <formula>$X$2="理法主题"</formula>
    </cfRule>
  </conditionalFormatting>
  <conditionalFormatting sqref="J2:K2">
    <cfRule type="expression" priority="3" dxfId="1">
      <formula>$X$2="神法主题"</formula>
    </cfRule>
    <cfRule type="expression" priority="4" dxfId="0">
      <formula>$X$2="理法主题"</formula>
    </cfRule>
  </conditionalFormatting>
  <conditionalFormatting sqref="J4:K13">
    <cfRule type="expression" priority="1" dxfId="1">
      <formula>$X$2="神法主题"</formula>
    </cfRule>
    <cfRule type="expression" priority="2" dxfId="0">
      <formula>$X$2="理法主题"</formula>
    </cfRule>
  </conditionalFormatting>
  <conditionalFormatting sqref="J1:Q1">
    <cfRule type="expression" priority="5" dxfId="1">
      <formula>$X$2="神法主题"</formula>
    </cfRule>
    <cfRule type="expression" priority="6" dxfId="0">
      <formula>$X$2="理法主题"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AJ31"/>
  <sheetViews>
    <sheetView topLeftCell="M1" workbookViewId="0">
      <selection activeCell="V18" sqref="V18"/>
    </sheetView>
  </sheetViews>
  <sheetFormatPr baseColWidth="8" defaultRowHeight="14.4"/>
  <sheetData>
    <row r="1">
      <c r="A1" s="1" t="n"/>
      <c r="B1" s="2" t="inlineStr">
        <is>
          <t>事件</t>
        </is>
      </c>
      <c r="C1" s="2" t="inlineStr">
        <is>
          <t>关系</t>
        </is>
      </c>
      <c r="D1" s="2" t="inlineStr">
        <is>
          <t>使命</t>
        </is>
      </c>
      <c r="E1" s="2" t="inlineStr">
        <is>
          <t>个性</t>
        </is>
      </c>
      <c r="F1" s="2" t="inlineStr">
        <is>
          <t>财产</t>
        </is>
      </c>
      <c r="G1" s="2" t="inlineStr">
        <is>
          <t>例程</t>
        </is>
      </c>
      <c r="H1" s="2" t="inlineStr">
        <is>
          <t>训练</t>
        </is>
      </c>
      <c r="I1" s="2" t="inlineStr">
        <is>
          <t>困境（SS）</t>
        </is>
      </c>
      <c r="J1" s="2" t="inlineStr">
        <is>
          <t>地盘（SS）</t>
        </is>
      </c>
      <c r="K1" s="2" t="inlineStr">
        <is>
          <t>传统（LL）</t>
        </is>
      </c>
      <c r="L1" s="4">
        <f>自定义主题!C2</f>
        <v/>
      </c>
      <c r="M1" s="4" t="n"/>
      <c r="N1" s="2" t="n"/>
      <c r="O1" s="2" t="inlineStr">
        <is>
          <t>万变</t>
        </is>
      </c>
      <c r="P1" s="2" t="inlineStr">
        <is>
          <t>坚壁</t>
        </is>
      </c>
      <c r="Q1" s="2" t="inlineStr">
        <is>
          <t>感知</t>
        </is>
      </c>
      <c r="R1" s="2" t="inlineStr">
        <is>
          <t>外显</t>
        </is>
      </c>
      <c r="S1" s="2" t="inlineStr">
        <is>
          <t>机动</t>
        </is>
      </c>
      <c r="T1" s="2" t="inlineStr">
        <is>
          <t>遗物</t>
        </is>
      </c>
      <c r="U1" s="2" t="inlineStr">
        <is>
          <t>诡秘</t>
        </is>
      </c>
      <c r="V1" s="2" t="inlineStr">
        <is>
          <t>召唤（SS）</t>
        </is>
      </c>
      <c r="W1" s="2" t="inlineStr">
        <is>
          <t>宿命（SS）</t>
        </is>
      </c>
      <c r="X1" s="2" t="inlineStr">
        <is>
          <t>灵地（SS）</t>
        </is>
      </c>
      <c r="Y1" s="2" t="inlineStr">
        <is>
          <t>使魔（SS）</t>
        </is>
      </c>
      <c r="Z1" s="2" t="inlineStr">
        <is>
          <t>困境（SS）</t>
        </is>
      </c>
      <c r="AA1" s="2" t="inlineStr">
        <is>
          <t>秘术（LL）</t>
        </is>
      </c>
      <c r="AB1" s="19">
        <f>自定义主题!L2</f>
        <v/>
      </c>
      <c r="AE1" s="2" t="inlineStr">
        <is>
          <t>团队主题</t>
        </is>
      </c>
      <c r="AH1" s="19" t="inlineStr">
        <is>
          <t>盟友</t>
        </is>
      </c>
      <c r="AI1" s="19" t="inlineStr">
        <is>
          <t>行动基地</t>
        </is>
      </c>
      <c r="AJ1" s="19" t="inlineStr">
        <is>
          <t>载具</t>
        </is>
      </c>
    </row>
    <row r="2">
      <c r="A2" s="2" t="inlineStr">
        <is>
          <t>A</t>
        </is>
      </c>
      <c r="B2" s="3" t="inlineStr">
        <is>
          <t>这个关键事件给你留下了什么样的强烈情感？</t>
        </is>
      </c>
      <c r="C2" s="2" t="inlineStr">
        <is>
          <t>为什么这个关系对你如此重要？</t>
        </is>
      </c>
      <c r="D2" s="2" t="inlineStr">
        <is>
          <t>为了完成你的使命，你最需要什么？</t>
        </is>
      </c>
      <c r="E2" s="2" t="inlineStr">
        <is>
          <t>你的个性的核心是什么？</t>
        </is>
      </c>
      <c r="F2" s="2" t="inlineStr">
        <is>
          <t>你拥有的最重要的东西是什么？</t>
        </is>
      </c>
      <c r="G2" s="2" t="inlineStr">
        <is>
          <t>你用你的时间做什么？</t>
        </is>
      </c>
      <c r="H2" s="2" t="inlineStr">
        <is>
          <t>你最擅长或最了解什么？</t>
        </is>
      </c>
      <c r="I2" s="2" t="inlineStr">
        <is>
          <t>不谈困境的话，它带来的最好的事物是什么？</t>
        </is>
      </c>
      <c r="J2" s="2" t="inlineStr">
        <is>
          <t>你控制着什么样的场所或领地？</t>
        </is>
      </c>
      <c r="K2" s="2" t="inlineStr">
        <is>
          <t>你保护哪些传统或者社区的安危？</t>
        </is>
      </c>
      <c r="L2" s="20">
        <f>自定义主题!C4</f>
        <v/>
      </c>
      <c r="M2" s="4" t="n"/>
      <c r="N2" s="2" t="inlineStr">
        <is>
          <t>A</t>
        </is>
      </c>
      <c r="O2" s="2" t="inlineStr">
        <is>
          <t>是什么神法能力让你能针对任意情况做出不同反应？</t>
        </is>
      </c>
      <c r="P2" s="2" t="inlineStr">
        <is>
          <t>你的神法赋予你的什么品质或能力最能保护你？</t>
        </is>
      </c>
      <c r="Q2" s="2" t="inlineStr">
        <is>
          <t>是什么让你能以神奇的方式知晓你通常无法知晓的事？</t>
        </is>
      </c>
      <c r="R2" s="2" t="inlineStr">
        <is>
          <t>使用神法影响世界时，你最常用的是哪种方式？</t>
        </is>
      </c>
      <c r="S2" s="2" t="inlineStr">
        <is>
          <t>你的神法最实用的移动方式是什么？</t>
        </is>
      </c>
      <c r="T2" s="2" t="inlineStr">
        <is>
          <t>你的遗物最有用的主要是什么特质/部分？</t>
        </is>
      </c>
      <c r="U2" s="2" t="inlineStr">
        <is>
          <t>你用来遮掩/隐藏自己的行动的主要能力是？</t>
        </is>
      </c>
      <c r="V2" s="2" t="inlineStr">
        <is>
          <t>你能够召唤谁或什么？</t>
        </is>
      </c>
      <c r="W2" s="2" t="inlineStr">
        <is>
          <t>你的宿命最有用的一点是什么？</t>
        </is>
      </c>
      <c r="X2" s="2" t="inlineStr">
        <is>
          <t>你的灵地是什么，或在哪里？</t>
        </is>
      </c>
      <c r="Y2" s="2" t="inlineStr">
        <is>
          <t>你的使魔的主要特性、能力或力量是什么？</t>
        </is>
      </c>
      <c r="Z2" s="2" t="inlineStr">
        <is>
          <t>不谈困境的话，它带来的最好的事物是什么？</t>
        </is>
      </c>
      <c r="AA2" s="2" t="inlineStr">
        <is>
          <t>你能操控何种秘术力量？</t>
        </is>
      </c>
      <c r="AB2" s="19">
        <f>自定义主题!L4</f>
        <v/>
      </c>
      <c r="AD2" s="2" t="inlineStr">
        <is>
          <t>A</t>
        </is>
      </c>
      <c r="AE2" s="2" t="inlineStr">
        <is>
          <t>你们如何帮助、协助或支持其他人？</t>
        </is>
      </c>
      <c r="AH2" s="19" t="inlineStr">
        <is>
          <t>你的盟友用什么来帮助你？</t>
        </is>
      </c>
      <c r="AI2" s="19" t="inlineStr">
        <is>
          <t>你的基地的最有用的特点是什么？</t>
        </is>
      </c>
      <c r="AJ2" s="19" t="inlineStr">
        <is>
          <t>你的载具如何帮助你移动？</t>
        </is>
      </c>
    </row>
    <row r="3">
      <c r="A3" s="2" t="inlineStr">
        <is>
          <t>B</t>
        </is>
      </c>
      <c r="B3" s="3" t="inlineStr">
        <is>
          <t>虽然已经发生了深刻的变化，但过去的你的哪一点仍然有助于你？</t>
        </is>
      </c>
      <c r="C3" s="2" t="inlineStr">
        <is>
          <t>列举一项对方拥有而且可以用来帮助你的品质或技能。</t>
        </is>
      </c>
      <c r="D3" s="2" t="inlineStr">
        <is>
          <t>你在完成使命的过程中被迫学会了什么？</t>
        </is>
      </c>
      <c r="E3" s="2" t="inlineStr">
        <is>
          <t>人们首先注意到你的什么？</t>
        </is>
      </c>
      <c r="F3" s="2" t="inlineStr">
        <is>
          <t>你如何概括你的财产？</t>
        </is>
      </c>
      <c r="G3" s="2" t="inlineStr">
        <is>
          <t>你的工作领域有什么特权？</t>
        </is>
      </c>
      <c r="H3" s="2" t="inlineStr">
        <is>
          <t>在你的专业领域内，你最擅长哪一项技能或科目？</t>
        </is>
      </c>
      <c r="I3" s="2" t="inlineStr">
        <is>
          <t>因为困境，你从自己身上找到了什么样的崭新力量？</t>
        </is>
      </c>
      <c r="J3" s="2" t="inlineStr">
        <is>
          <t>什么东西帮你统治你的地盘？</t>
        </is>
      </c>
      <c r="K3" s="2" t="inlineStr">
        <is>
          <t>得益于你的传统，你被培养了何种技能或者能力？</t>
        </is>
      </c>
      <c r="L3" s="20">
        <f>自定义主题!C5</f>
        <v/>
      </c>
      <c r="M3" s="4" t="n"/>
      <c r="N3" s="2" t="inlineStr">
        <is>
          <t>B</t>
        </is>
      </c>
      <c r="O3" s="2" t="inlineStr">
        <is>
          <t>在你的神法能力之中，你最精擅哪一细类的效果？</t>
        </is>
      </c>
      <c r="P3" s="2" t="inlineStr">
        <is>
          <t>你有什么办法来保护他人？</t>
        </is>
      </c>
      <c r="Q3" s="2" t="inlineStr">
        <is>
          <t>运用能力，你能得到其他哪种类型的知识？</t>
        </is>
      </c>
      <c r="R3" s="2" t="inlineStr">
        <is>
          <t>你能运用哪种实用的反面效果？</t>
        </is>
      </c>
      <c r="S3" s="2" t="inlineStr">
        <is>
          <t>你如何进入超速状态？</t>
        </is>
      </c>
      <c r="T3" s="2" t="inlineStr">
        <is>
          <t>请举出另外一种运用上述特质的方法。</t>
        </is>
      </c>
      <c r="U3" s="2" t="inlineStr">
        <is>
          <t>你会如何运用自己的能力来分散他人的注意力？</t>
        </is>
      </c>
      <c r="V3" s="2" t="inlineStr">
        <is>
          <t>你最有用的召唤体是谁或什么？</t>
        </is>
      </c>
      <c r="W3" s="2" t="inlineStr">
        <is>
          <t>在宿命显现之前，你的神法是谁或什么？</t>
        </is>
      </c>
      <c r="X3" s="2" t="inlineStr">
        <is>
          <t>你的灵地最有用的一点是什么？</t>
        </is>
      </c>
      <c r="Y3" s="2" t="inlineStr">
        <is>
          <t>你的使魔具有其他什么天生的武器或防御措施？</t>
        </is>
      </c>
      <c r="Z3" s="2" t="inlineStr">
        <is>
          <t>因为困境，你从自己身上找到了什么样的崭新力量？</t>
        </is>
      </c>
      <c r="AA3" s="2" t="inlineStr">
        <is>
          <t>你的秘术领域中标志性的异能或者超自然效应是怎么体现的？</t>
        </is>
      </c>
      <c r="AB3" s="19">
        <f>自定义主题!L5</f>
        <v/>
      </c>
      <c r="AD3" s="2" t="inlineStr">
        <is>
          <t>B</t>
        </is>
      </c>
      <c r="AE3" s="2" t="inlineStr">
        <is>
          <t>你们在哪里会面、工作、休息或准备行动？</t>
        </is>
      </c>
      <c r="AH3" s="19" t="inlineStr">
        <is>
          <t>你的盟友拥有怎样的财产/训练/社会地位/特殊性质？</t>
        </is>
      </c>
      <c r="AI3" s="19" t="inlineStr">
        <is>
          <t>是什么防御机制/设备从入侵者手里保护你的基地？</t>
        </is>
      </c>
      <c r="AJ3" s="19" t="inlineStr">
        <is>
          <t>是什么让你的载具足够快，甚至能使它更快？</t>
        </is>
      </c>
    </row>
    <row r="4">
      <c r="A4" s="2" t="inlineStr">
        <is>
          <t>C</t>
        </is>
      </c>
      <c r="B4" s="3" t="inlineStr">
        <is>
          <t>在关键事件中，你获得了什么平凡但有用的东西，并且这个东西一直陪伴着你？</t>
        </is>
      </c>
      <c r="C4" s="2" t="inlineStr">
        <is>
          <t>因为这段关系，你被迫学习了什么？</t>
        </is>
      </c>
      <c r="D4" s="2" t="inlineStr">
        <is>
          <t>谁在帮助你完成使命？</t>
        </is>
      </c>
      <c r="E4" s="2" t="inlineStr">
        <is>
          <t>由于你的个性，你拥有什么样的人际交往能力？</t>
        </is>
      </c>
      <c r="F4" s="2" t="inlineStr">
        <is>
          <t>你的财产中还包含什么重要的物品？</t>
        </is>
      </c>
      <c r="G4" s="2" t="inlineStr">
        <is>
          <t>你使用什么样的工具？</t>
        </is>
      </c>
      <c r="H4" s="2" t="inlineStr">
        <is>
          <t>你还间接涉足过哪些相似领域？</t>
        </is>
      </c>
      <c r="I4" s="2" t="inlineStr">
        <is>
          <t>你如何在困境中的每一天里坚持下来？</t>
        </is>
      </c>
      <c r="J4" s="2" t="inlineStr">
        <is>
          <t>你最了解你的地盘的什么？</t>
        </is>
      </c>
      <c r="K4" s="2" t="inlineStr">
        <is>
          <t>还有谁与你遵循相同传统，并且可以在你求助时前来助你一臂之力？</t>
        </is>
      </c>
      <c r="L4" s="20">
        <f>自定义主题!C6</f>
        <v/>
      </c>
      <c r="M4" s="4" t="n"/>
      <c r="N4" s="2" t="inlineStr">
        <is>
          <t>C</t>
        </is>
      </c>
      <c r="O4" s="2" t="inlineStr">
        <is>
          <t>你最喜欢神法的哪种具体表现形式？</t>
        </is>
      </c>
      <c r="P4" s="2" t="inlineStr">
        <is>
          <t>你的防御有什么特别实用的特点？</t>
        </is>
      </c>
      <c r="Q4" s="2" t="inlineStr">
        <is>
          <t>你最容易了解的事物是？</t>
        </is>
      </c>
      <c r="R4" s="2" t="inlineStr">
        <is>
          <t>你的主要能力有什么实用的特性？</t>
        </is>
      </c>
      <c r="S4" s="2" t="inlineStr">
        <is>
          <t>是什么让你能够摆脱束缚和限制？</t>
        </is>
      </c>
      <c r="T4" s="2" t="inlineStr">
        <is>
          <t>你的遗物具有什么关键且实用的核心品质？</t>
        </is>
      </c>
      <c r="U4" s="2" t="inlineStr">
        <is>
          <t>你的主要效果有什么实用的特性？</t>
        </is>
      </c>
      <c r="V4" s="2" t="inlineStr">
        <is>
          <t>你还能显现哪些召唤体？</t>
        </is>
      </c>
      <c r="W4" s="2" t="inlineStr">
        <is>
          <t>什么特质或情感因宿命产生，或是会让你迎来宿命？</t>
        </is>
      </c>
      <c r="X4" s="2" t="inlineStr">
        <is>
          <t>你如何快速地，隐秘地（等类似形容）到访灵地？</t>
        </is>
      </c>
      <c r="Y4" s="2" t="inlineStr">
        <is>
          <t>你的使魔为什么追随你？</t>
        </is>
      </c>
      <c r="Z4" s="2" t="inlineStr">
        <is>
          <t>你如何在困境中的每一天里坚持下来？</t>
        </is>
      </c>
      <c r="AA4" s="2" t="inlineStr">
        <is>
          <t>你的力量会被用来怎样伤害阻碍他人呢？</t>
        </is>
      </c>
      <c r="AB4" s="19">
        <f>自定义主题!L6</f>
        <v/>
      </c>
      <c r="AD4" s="2" t="inlineStr">
        <is>
          <t>C</t>
        </is>
      </c>
      <c r="AE4" s="2" t="inlineStr">
        <is>
          <t>你们一起掌握了什么？</t>
        </is>
      </c>
      <c r="AH4" s="19" t="inlineStr">
        <is>
          <t>你的盟友拥有其他什么能力？</t>
        </is>
      </c>
      <c r="AI4" s="19" t="inlineStr">
        <is>
          <t>你在基地里工作时能获得什么好处？</t>
        </is>
      </c>
      <c r="AJ4" s="19" t="inlineStr">
        <is>
          <t>是什么让你的载具能够载更多人？</t>
        </is>
      </c>
    </row>
    <row r="5">
      <c r="A5" s="2" t="inlineStr">
        <is>
          <t>D</t>
        </is>
      </c>
      <c r="B5" s="3" t="inlineStr">
        <is>
          <t>在关键事件之中或者之后，你获得了什么样的权力？</t>
        </is>
      </c>
      <c r="C5" s="2" t="inlineStr">
        <is>
          <t>在他们身边已经让你……</t>
        </is>
      </c>
      <c r="D5" s="2" t="inlineStr">
        <is>
          <t>你对使命的目的或者目标有什么了解？</t>
        </is>
      </c>
      <c r="E5" s="2" t="inlineStr">
        <is>
          <t>如果你想，你也可以让人感觉怎样?</t>
        </is>
      </c>
      <c r="F5" s="2" t="inlineStr">
        <is>
          <t>在你的某个物品上增加什么元件/附件能够改变/提升它的性能？</t>
        </is>
      </c>
      <c r="G5" s="2" t="inlineStr">
        <is>
          <t>通常谁会帮助你？</t>
        </is>
      </c>
      <c r="H5" s="2" t="inlineStr">
        <is>
          <t>你在训练中学会了什么动作/方法/策略/习惯/技巧？</t>
        </is>
      </c>
      <c r="I5" s="2" t="inlineStr">
        <is>
          <t>在你的困境中，你从哪里、如何寻求慰藉？</t>
        </is>
      </c>
      <c r="J5" s="2" t="inlineStr">
        <is>
          <t>你地盘上的的什么人会听从你的命令？</t>
        </is>
      </c>
      <c r="K5" s="2" t="inlineStr">
        <is>
          <t>何种情感、信仰与感悟让你不曾放弃你的传统？</t>
        </is>
      </c>
      <c r="L5" s="20">
        <f>自定义主题!C7</f>
        <v/>
      </c>
      <c r="M5" s="4" t="n"/>
      <c r="N5" s="2" t="inlineStr">
        <is>
          <t>D</t>
        </is>
      </c>
      <c r="O5" s="2" t="inlineStr">
        <is>
          <t>什么条件能够增强你的适应能力？</t>
        </is>
      </c>
      <c r="P5" s="2" t="inlineStr">
        <is>
          <t>你的防御对什么类型的攻击或影响特别有效？</t>
        </is>
      </c>
      <c r="Q5" s="2" t="inlineStr">
        <is>
          <t>你使用什么物品或物质作为获取知识的媒介？</t>
        </is>
      </c>
      <c r="R5" s="2" t="inlineStr">
        <is>
          <t>什么条件或情形会强化你的神法的外显能力？</t>
        </is>
      </c>
      <c r="S5" s="2" t="inlineStr">
        <is>
          <t>你学会了什么次级移动方式？</t>
        </is>
      </c>
      <c r="T5" s="2" t="inlineStr">
        <is>
          <t>你的遗物有什么外观特征？</t>
        </is>
      </c>
      <c r="U5" s="2" t="inlineStr">
        <is>
          <t>在伪装的掩护下，你最擅长做什么？</t>
        </is>
      </c>
      <c r="V5" s="2" t="inlineStr">
        <is>
          <t>你的召唤体如何为你战斗或帮你实现目标？</t>
        </is>
      </c>
      <c r="W5" s="2" t="inlineStr">
        <is>
          <t>你的宿命给予你怎样的免疫和防御？</t>
        </is>
      </c>
      <c r="X5" s="2" t="inlineStr">
        <is>
          <t>你的灵地受到什么保护？</t>
        </is>
      </c>
      <c r="Y5" s="2" t="inlineStr">
        <is>
          <t>你的使魔如何移动？</t>
        </is>
      </c>
      <c r="Z5" s="2" t="inlineStr">
        <is>
          <t>在你的困境中，你从哪里、如何寻求慰藉？</t>
        </is>
      </c>
      <c r="AA5" s="2" t="inlineStr">
        <is>
          <t>你如何利用这种力量自保或者脱离险境？</t>
        </is>
      </c>
      <c r="AB5" s="19">
        <f>自定义主题!L7</f>
        <v/>
      </c>
      <c r="AD5" s="2" t="inlineStr">
        <is>
          <t>D</t>
        </is>
      </c>
      <c r="AE5" s="2" t="inlineStr">
        <is>
          <t>谁在指导、支持或协助你们的行动？</t>
        </is>
      </c>
      <c r="AH5" s="19" t="inlineStr">
        <is>
          <t>你的盟友出于什么动机帮助你？</t>
        </is>
      </c>
      <c r="AI5" s="19" t="inlineStr">
        <is>
          <t>你的基地包含何种特殊设施？</t>
        </is>
      </c>
      <c r="AJ5" s="19" t="inlineStr">
        <is>
          <t>你能使用你的载具做出什么机动？</t>
        </is>
      </c>
    </row>
    <row r="6">
      <c r="A6" s="2" t="inlineStr">
        <is>
          <t>E</t>
        </is>
      </c>
      <c r="B6" s="2" t="inlineStr">
        <is>
          <t xml:space="preserve">在关键事件之后，你联系了谁或者与谁亲密起来？
</t>
        </is>
      </c>
      <c r="C6" s="2" t="inlineStr">
        <is>
          <t>当你求助时，谁会帮助你？（答案可以就是你的关系）</t>
        </is>
      </c>
      <c r="D6" s="2" t="inlineStr">
        <is>
          <t>为了达成目标你会使用怎样的策略/方法？</t>
        </is>
      </c>
      <c r="E6" s="2" t="inlineStr">
        <is>
          <t>因为你的个性，你追求什么特殊的技能/状态？</t>
        </is>
      </c>
      <c r="F6" s="2" t="inlineStr">
        <is>
          <t>你通常会用你的财产做什么样的特技/行动？</t>
        </is>
      </c>
      <c r="G6" s="2" t="inlineStr">
        <is>
          <t>你在日常活动中学到了什么？</t>
        </is>
      </c>
      <c r="H6" s="2" t="inlineStr">
        <is>
          <t>你的训练培养了什么品质/特质？</t>
        </is>
      </c>
      <c r="I6" s="2" t="inlineStr">
        <is>
          <t>你的支持网络里有谁？</t>
        </is>
      </c>
      <c r="J6" s="2" t="inlineStr">
        <is>
          <t>你的地盘上开展什么样的例行活动？</t>
        </is>
      </c>
      <c r="K6" s="2" t="inlineStr">
        <is>
          <t>你常参加什么日常活动来发扬你的传统？</t>
        </is>
      </c>
      <c r="L6" s="20">
        <f>自定义主题!C8</f>
        <v/>
      </c>
      <c r="M6" s="4" t="n"/>
      <c r="N6" s="2" t="inlineStr">
        <is>
          <t>E</t>
        </is>
      </c>
      <c r="O6" s="2" t="inlineStr">
        <is>
          <t>你习惯了哪些情形，或者在什么条件下能快速解决问题？</t>
        </is>
      </c>
      <c r="P6" s="2" t="inlineStr">
        <is>
          <t>你能怎样灵活地将防御能力用于进攻？</t>
        </is>
      </c>
      <c r="Q6" s="2" t="inlineStr">
        <is>
          <t>你的感知能力的哪种特性会让它特别有效？</t>
        </is>
      </c>
      <c r="R6" s="2" t="inlineStr">
        <is>
          <t>你的外显能力对什么目标更加有效？</t>
        </is>
      </c>
      <c r="S6" s="2" t="inlineStr">
        <is>
          <t>你精通于哪种移动方式或移动技巧？</t>
        </is>
      </c>
      <c r="T6" s="2" t="inlineStr">
        <is>
          <t>你的遗物还包含什么其他特质/部分/附件？</t>
        </is>
      </c>
      <c r="U6" s="2" t="inlineStr">
        <is>
          <t>谁最容易落入你的诡秘陷阱？</t>
        </is>
      </c>
      <c r="V6" s="2" t="inlineStr">
        <is>
          <t>你的召唤体掌握，或能为你提供什么平凡或神秘的技能和知识？</t>
        </is>
      </c>
      <c r="W6" s="2" t="inlineStr">
        <is>
          <t>你如何学会与宿命共处？</t>
        </is>
      </c>
      <c r="X6" s="2" t="inlineStr">
        <is>
          <t>你的灵地有哪些魔法或超自然性质？</t>
        </is>
      </c>
      <c r="Y6" s="2" t="inlineStr">
        <is>
          <t>你的使魔还有其他什么魔法性质或属性？</t>
        </is>
      </c>
      <c r="Z6" s="2" t="inlineStr">
        <is>
          <t>你的支持网络里有谁？</t>
        </is>
      </c>
      <c r="AA6" s="2" t="inlineStr">
        <is>
          <t>你使用什么法器或者魔法仪式来引导你的力量？</t>
        </is>
      </c>
      <c r="AB6" s="19">
        <f>自定义主题!L8</f>
        <v/>
      </c>
      <c r="AD6" s="2" t="inlineStr">
        <is>
          <t>E</t>
        </is>
      </c>
      <c r="AE6" s="2" t="inlineStr">
        <is>
          <t>你们如何出行？</t>
        </is>
      </c>
      <c r="AH6" s="19" t="inlineStr">
        <is>
          <t>你的盟友如何击退对手？</t>
        </is>
      </c>
      <c r="AI6" s="19" t="inlineStr">
        <is>
          <t>你在基地里存放了何种特殊装备？</t>
        </is>
      </c>
      <c r="AJ6" s="19" t="inlineStr">
        <is>
          <t>你的载具给路人什么印象？</t>
        </is>
      </c>
    </row>
    <row r="7">
      <c r="A7" s="2" t="inlineStr">
        <is>
          <t>F</t>
        </is>
      </c>
      <c r="B7" s="2" t="inlineStr">
        <is>
          <t>由于关键事件，你掌握了什么技能或普通能力？</t>
        </is>
      </c>
      <c r="C7" s="2" t="inlineStr">
        <is>
          <t>他们送给你了什么礼物/传家宝/工具/其他？</t>
        </is>
      </c>
      <c r="D7" s="2" t="inlineStr">
        <is>
          <t>达成使命的过程使你……</t>
        </is>
      </c>
      <c r="E7" s="2" t="inlineStr">
        <is>
          <t>你性格中的哪一方面保证了你的安全或者帮助你抵抗外界影响？</t>
        </is>
      </c>
      <c r="F7" s="2" t="inlineStr">
        <is>
          <t>什么能够帮助你隐藏你的财产或隐瞒你正在使用它的事实？</t>
        </is>
      </c>
      <c r="G7" s="2" t="inlineStr">
        <is>
          <t>作为你的主要职业的一部分，你具体从事什么活动？</t>
        </is>
      </c>
      <c r="H7" s="2" t="inlineStr">
        <is>
          <t>列举一位你可以在本领域内寻求帮助的老师/教练/同伴。</t>
        </is>
      </c>
      <c r="I7" s="2" t="inlineStr">
        <is>
          <t>在应对困境时，你需要用上什么样的技巧、能力或习惯？</t>
        </is>
      </c>
      <c r="J7" s="2" t="inlineStr">
        <is>
          <t>你的地盘上有什么丰富资源？</t>
        </is>
      </c>
      <c r="K7" s="2" t="inlineStr">
        <is>
          <t>你拥有什么平平无奇但实用非常的传家宝或者资产吗？</t>
        </is>
      </c>
      <c r="L7" s="20">
        <f>自定义主题!C9</f>
        <v/>
      </c>
      <c r="M7" s="4" t="n"/>
      <c r="N7" s="2" t="inlineStr">
        <is>
          <t>F</t>
        </is>
      </c>
      <c r="O7" s="2" t="inlineStr">
        <is>
          <t>你的能力天生能保护你不受什么伤害？</t>
        </is>
      </c>
      <c r="P7" s="2" t="inlineStr">
        <is>
          <t>你的防御有什么附带效果？</t>
        </is>
      </c>
      <c r="Q7" s="2" t="inlineStr">
        <is>
          <t>你的感知能力在战斗中能给你带来什么优势？</t>
        </is>
      </c>
      <c r="R7" s="2" t="inlineStr">
        <is>
          <t>你掌握了外显能力的哪些特殊变种或特别用法？</t>
        </is>
      </c>
      <c r="S7" s="2" t="inlineStr">
        <is>
          <t>你的机动能力能让你避开哪些具体的有害效果？</t>
        </is>
      </c>
      <c r="T7" s="2" t="inlineStr">
        <is>
          <t>使用这件遗物会为你揭示什么信息？</t>
        </is>
      </c>
      <c r="U7" s="2" t="inlineStr">
        <is>
          <t>秘密行事是如何让你获得新信息的？</t>
        </is>
      </c>
      <c r="V7" s="2" t="inlineStr">
        <is>
          <t>你的召唤体如何保护你？</t>
        </is>
      </c>
      <c r="W7" s="2" t="inlineStr">
        <is>
          <t>谁或什么帮助你实现宿命？</t>
        </is>
      </c>
      <c r="X7" s="2" t="inlineStr">
        <is>
          <t>你的灵地最适合什么活动？</t>
        </is>
      </c>
      <c r="Y7" s="2" t="inlineStr">
        <is>
          <t>你的使魔有什么敏锐或超自然的感官？</t>
        </is>
      </c>
      <c r="Z7" s="2" t="inlineStr">
        <is>
          <t>在应对困境时，你需要用上什么样的技巧、能力或习惯？</t>
        </is>
      </c>
      <c r="AA7" s="2" t="inlineStr">
        <is>
          <t>你的秘术能力在什么场合下最有效果？</t>
        </is>
      </c>
      <c r="AB7" s="19">
        <f>自定义主题!L9</f>
        <v/>
      </c>
      <c r="AD7" s="2" t="inlineStr">
        <is>
          <t>F</t>
        </is>
      </c>
      <c r="AE7" s="2" t="inlineStr">
        <is>
          <t>你们在什么样的情况或情形下感到最自在？</t>
        </is>
      </c>
      <c r="AH7" s="19" t="inlineStr">
        <is>
          <t>你的盟友怎样保护你或者保护他自己？</t>
        </is>
      </c>
      <c r="AI7" s="19" t="inlineStr">
        <is>
          <t>谁在你的基地里工作/生活？</t>
        </is>
      </c>
      <c r="AJ7" s="19" t="inlineStr">
        <is>
          <t>你的载具包含/储存/搭载了什么武器？</t>
        </is>
      </c>
    </row>
    <row r="8">
      <c r="A8" s="2" t="inlineStr">
        <is>
          <t>G</t>
        </is>
      </c>
      <c r="B8" s="2" t="inlineStr">
        <is>
          <t>由于关键事件，你获得了哪些知识？</t>
        </is>
      </c>
      <c r="C8" s="2" t="inlineStr">
        <is>
          <t>要与他们打交道，你需要……</t>
        </is>
      </c>
      <c r="D8" s="2" t="inlineStr">
        <is>
          <t>你为手头任务奉献的本质原因是？</t>
        </is>
      </c>
      <c r="E8" s="2" t="inlineStr">
        <is>
          <t>什么品质或物品能最好地表达或凸显你的个人风格？</t>
        </is>
      </c>
      <c r="F8" s="2" t="inlineStr">
        <is>
          <t>什么保证了你的财产的安全？</t>
        </is>
      </c>
      <c r="G8" s="2" t="inlineStr">
        <is>
          <t>在完成你的工作的同时，你掌握了什么诀窍？</t>
        </is>
      </c>
      <c r="H8" s="2" t="inlineStr">
        <is>
          <t>你通常会使用哪些与你的训练相关的设备？</t>
        </is>
      </c>
      <c r="I8" s="2" t="inlineStr">
        <is>
          <t>由于困境，你总是带着什么样的物品？</t>
        </is>
      </c>
      <c r="J8" s="2" t="inlineStr">
        <is>
          <t>你的权力宝座位居何处？</t>
        </is>
      </c>
      <c r="K8" s="2" t="inlineStr">
        <is>
          <t>当冲突无法避免时，我的传统教导我该如何抗争？</t>
        </is>
      </c>
      <c r="L8" s="20">
        <f>自定义主题!C10</f>
        <v/>
      </c>
      <c r="M8" s="4" t="n"/>
      <c r="N8" s="2" t="inlineStr">
        <is>
          <t>G</t>
        </is>
      </c>
      <c r="O8" s="2" t="inlineStr">
        <is>
          <t>什么样的态度或情绪是你适应能力的核心？</t>
        </is>
      </c>
      <c r="P8" s="2" t="inlineStr">
        <is>
          <t>你的防御还有什么效果或特性（不一定是防御性的）？</t>
        </is>
      </c>
      <c r="Q8" s="2" t="inlineStr">
        <is>
          <t>你的神法如何强化了你的普通感官？</t>
        </is>
      </c>
      <c r="R8" s="2" t="inlineStr">
        <is>
          <t>你的神法有什么额外的外显能力（不一定与主能力相关）？</t>
        </is>
      </c>
      <c r="S8" s="2" t="inlineStr">
        <is>
          <t>战斗中，你如何使用机动能力来给自己创造优势？</t>
        </is>
      </c>
      <c r="T8" s="2" t="inlineStr">
        <is>
          <t>你的遗物被设计成对什么物体/人最有效？</t>
        </is>
      </c>
      <c r="U8" s="2" t="inlineStr">
        <is>
          <t>谁是你的盟友？</t>
        </is>
      </c>
      <c r="V8" s="2" t="inlineStr">
        <is>
          <t>你的召唤体在何时具有优势？</t>
        </is>
      </c>
      <c r="W8" s="2" t="inlineStr">
        <is>
          <t>你所持有的什么物品与宿命相联？</t>
        </is>
      </c>
      <c r="X8" s="2" t="inlineStr">
        <is>
          <t>谁居住在你的灵地内？</t>
        </is>
      </c>
      <c r="Y8" s="2" t="inlineStr">
        <is>
          <t>你的使魔可以召唤谁或什么的帮助？</t>
        </is>
      </c>
      <c r="Z8" s="2" t="inlineStr">
        <is>
          <t>由于困境，你总是带着什么样的物品？</t>
        </is>
      </c>
      <c r="AA8" s="2" t="inlineStr">
        <is>
          <t>哪些曾与你一同学习神秘学的盟友或同僚可以为你提供帮助？</t>
        </is>
      </c>
      <c r="AB8" s="19">
        <f>自定义主题!L10</f>
        <v/>
      </c>
      <c r="AD8" s="2" t="inlineStr">
        <is>
          <t>G</t>
        </is>
      </c>
      <c r="AE8" s="2" t="inlineStr">
        <is>
          <t>你们拥有什么特殊的信息来源？</t>
        </is>
      </c>
      <c r="AH8" s="19" t="inlineStr">
        <is>
          <t>你的盟友可以接触哪些特殊情报来源？</t>
        </is>
      </c>
      <c r="AI8" s="19" t="inlineStr">
        <is>
          <t>你的基地拥有什么超自然力量？</t>
        </is>
      </c>
      <c r="AJ8" s="19" t="inlineStr">
        <is>
          <t>你的载具因为其神法拥有了什么特征？</t>
        </is>
      </c>
    </row>
    <row r="9">
      <c r="A9" s="2" t="inlineStr">
        <is>
          <t>H</t>
        </is>
      </c>
      <c r="B9" s="2" t="inlineStr">
        <is>
          <t>在关键事件之后，你选择了什么样的生活方式？</t>
        </is>
      </c>
      <c r="C9" s="2" t="inlineStr">
        <is>
          <t>列举一项你们一起进行的活动。</t>
        </is>
      </c>
      <c r="D9" s="2" t="inlineStr">
        <is>
          <t>为了达成使命，你必须获得什么有益的地位/状态？</t>
        </is>
      </c>
      <c r="E9" s="2" t="inlineStr">
        <is>
          <t>由于你的个性，你养成了什么有用的习惯?</t>
        </is>
      </c>
      <c r="F9" s="2" t="inlineStr">
        <is>
          <t>你如何处理，修复或保养你的财产？</t>
        </is>
      </c>
      <c r="G9" s="2" t="inlineStr">
        <is>
          <t>由于日常例程，你拥有了什么特质？</t>
        </is>
      </c>
      <c r="H9" s="2" t="inlineStr">
        <is>
          <t>你的训练对什么人或事物有最好的效果?</t>
        </is>
      </c>
      <c r="I9" s="2" t="inlineStr">
        <is>
          <t>由于困境，你得以强烈地察觉到什么事物？</t>
        </is>
      </c>
      <c r="J9" s="2" t="inlineStr">
        <is>
          <t>你如何伤害那些侵犯你领地的人？</t>
        </is>
      </c>
      <c r="K9" s="2" t="inlineStr">
        <is>
          <t>你从你的传统中知道了那些或平常或罕见的传承或学识？</t>
        </is>
      </c>
      <c r="L9" s="20">
        <f>自定义主题!C11</f>
        <v/>
      </c>
      <c r="M9" s="4" t="n"/>
      <c r="N9" s="2" t="inlineStr">
        <is>
          <t>H</t>
        </is>
      </c>
      <c r="O9" s="2" t="inlineStr">
        <is>
          <t>你能制造或召唤哪些特定的物体或生物？</t>
        </is>
      </c>
      <c r="P9" s="2" t="inlineStr">
        <is>
          <t>你的能力是用来保护什么的？</t>
        </is>
      </c>
      <c r="Q9" s="2" t="inlineStr">
        <is>
          <t>你创造了何种创造性地使用感知能力的方式？</t>
        </is>
      </c>
      <c r="R9" s="2" t="inlineStr">
        <is>
          <t>你能运用自己的外显能力来完成什么特殊技巧或动作？</t>
        </is>
      </c>
      <c r="S9" s="2" t="inlineStr">
        <is>
          <t>你如何移动他人？</t>
        </is>
      </c>
      <c r="T9" s="2" t="inlineStr">
        <is>
          <t>从这件遗物中，你学会了什么？</t>
        </is>
      </c>
      <c r="U9" s="2" t="inlineStr">
        <is>
          <t>由于你的能力，你不太可能被什么影响?</t>
        </is>
      </c>
      <c r="V9" s="2" t="inlineStr">
        <is>
          <t>是什么让你的召唤体的效果难以抵御和解除？</t>
        </is>
      </c>
      <c r="W9" s="2" t="inlineStr">
        <is>
          <t>你能如何把宿命或其一部分引导到别人身上？</t>
        </is>
      </c>
      <c r="X9" s="2" t="inlineStr">
        <is>
          <t>在领域内你有什么本领？</t>
        </is>
      </c>
      <c r="Y9" s="2" t="inlineStr">
        <is>
          <t>你的使魔最喜欢什么环境或条件？</t>
        </is>
      </c>
      <c r="Z9" s="2" t="inlineStr">
        <is>
          <t>由于困境，你得以强烈地察觉到什么事物？</t>
        </is>
      </c>
      <c r="AA9" s="2" t="inlineStr">
        <is>
          <t>作为秘术训练的成果，你获得了什么实用的普通技能？</t>
        </is>
      </c>
      <c r="AB9" s="19">
        <f>自定义主题!L11</f>
        <v/>
      </c>
      <c r="AD9" s="2" t="inlineStr">
        <is>
          <t>H</t>
        </is>
      </c>
      <c r="AE9" s="2" t="inlineStr">
        <is>
          <t>你们为自己创造了什么样的称号或名声？</t>
        </is>
      </c>
      <c r="AH9" s="19" t="inlineStr">
        <is>
          <t>你的盟友拥有哪些资源/古物/装备？</t>
        </is>
      </c>
      <c r="AI9" s="19" t="inlineStr">
        <is>
          <t>你的基地的外观有什么实用之处？</t>
        </is>
      </c>
      <c r="AJ9" s="19" t="inlineStr">
        <is>
          <t>是什么帮助你的载具避免了或者幸免于惩罚？</t>
        </is>
      </c>
    </row>
    <row r="10">
      <c r="A10" s="2" t="inlineStr">
        <is>
          <t>I</t>
        </is>
      </c>
      <c r="B10" s="2" t="inlineStr">
        <is>
          <t>在关键事件之中，你的身体获得了哪些改变/提升？</t>
        </is>
      </c>
      <c r="C10" s="2" t="inlineStr">
        <is>
          <t>什么能帮助你保护他们？</t>
        </is>
      </c>
      <c r="D10" s="2" t="inlineStr">
        <is>
          <t>你有什么东西可以帮助你完成使命？</t>
        </is>
      </c>
      <c r="E10" s="2" t="inlineStr">
        <is>
          <t>通常什么会让你感兴趣？</t>
        </is>
      </c>
      <c r="F10" s="2" t="inlineStr">
        <is>
          <t>你的财产有什么实用的特质？</t>
        </is>
      </c>
      <c r="G10" s="2" t="inlineStr">
        <is>
          <t>你在哪里完成你的例行公事，或者去哪里逃避它？</t>
        </is>
      </c>
      <c r="H10" s="2" t="inlineStr">
        <is>
          <t>你的技艺在什么情况下效果最好？</t>
        </is>
      </c>
      <c r="I10" s="2" t="inlineStr">
        <is>
          <t>陷入痛苦时，你如何爆发？</t>
        </is>
      </c>
      <c r="J10" s="2" t="inlineStr">
        <is>
          <t>你如何打击那些侵犯你领地的家伙？</t>
        </is>
      </c>
      <c r="K10" s="2" t="inlineStr">
        <is>
          <t>你的传统如何保护了自己与他人？</t>
        </is>
      </c>
      <c r="L10" s="20">
        <f>自定义主题!C12</f>
        <v/>
      </c>
      <c r="M10" s="4" t="n"/>
      <c r="N10" s="2" t="inlineStr">
        <is>
          <t>I</t>
        </is>
      </c>
      <c r="O10" s="2" t="inlineStr">
        <is>
          <t>你在战斗中会使用什么策略或效果组合？</t>
        </is>
      </c>
      <c r="P10" s="2" t="inlineStr">
        <is>
          <t>在要紧关头，你如何利用防御来使局势变得对自己有利？</t>
        </is>
      </c>
      <c r="Q10" s="2" t="inlineStr">
        <is>
          <t>你要如何用能力影响他人？</t>
        </is>
      </c>
      <c r="R10" s="2" t="inlineStr">
        <is>
          <t>你释放自己的神法时，会展现出怎样的姿态？</t>
        </is>
      </c>
      <c r="S10" s="2" t="inlineStr">
        <is>
          <t>你如何运用自己的能力去限制他人的行动？</t>
        </is>
      </c>
      <c r="T10" s="2" t="inlineStr">
        <is>
          <t>当你的遗物被全力驱使时，会发生什么？</t>
        </is>
      </c>
      <c r="U10" s="2" t="inlineStr">
        <is>
          <t>什么环境/条件会增强你隐秘行动的能力？</t>
        </is>
      </c>
      <c r="V10" s="2" t="inlineStr">
        <is>
          <t>你能够显现和召唤体有关的哪些物品？</t>
        </is>
      </c>
      <c r="W10" s="2" t="inlineStr">
        <is>
          <t>你如何加速宿命实现或逃脱宿命？</t>
        </is>
      </c>
      <c r="X10" s="2" t="inlineStr">
        <is>
          <t>你的领域充斥着怎样的氛围或情感？</t>
        </is>
      </c>
      <c r="Y10" s="2" t="inlineStr">
        <is>
          <t>你和使魔如何协作？</t>
        </is>
      </c>
      <c r="Z10" s="2" t="inlineStr">
        <is>
          <t>陷入痛苦时，你如何爆发？</t>
        </is>
      </c>
      <c r="AA10" s="2" t="inlineStr">
        <is>
          <t>是什么支持着你钻研这些秘术力量？</t>
        </is>
      </c>
      <c r="AB10" s="19">
        <f>自定义主题!L12</f>
        <v/>
      </c>
      <c r="AD10" s="2" t="inlineStr">
        <is>
          <t>I</t>
        </is>
      </c>
      <c r="AE10" s="2" t="inlineStr">
        <is>
          <t>在应对挑战时，你们会采取什么方法或战术？</t>
        </is>
      </c>
      <c r="AH10" s="19" t="inlineStr">
        <is>
          <t>你的盟友如何获得信息？</t>
        </is>
      </c>
      <c r="AI10" s="19" t="inlineStr">
        <is>
          <t>你的基地的下方/上方有什么？</t>
        </is>
      </c>
      <c r="AJ10" s="19" t="inlineStr">
        <is>
          <t>你的载具拥有什么监控/侦察能力？</t>
        </is>
      </c>
    </row>
    <row r="11">
      <c r="A11" s="2" t="inlineStr">
        <is>
          <t>J</t>
        </is>
      </c>
      <c r="B11" s="2" t="inlineStr">
        <is>
          <t>因为这个事件，人们如何对待你？</t>
        </is>
      </c>
      <c r="C11" s="2" t="inlineStr">
        <is>
          <t>你们在哪里一起度过时光？</t>
        </is>
      </c>
      <c r="D11" s="2" t="inlineStr">
        <is>
          <t>在实现目标的计划中，你最重视的是哪一部分？</t>
        </is>
      </c>
      <c r="E11" s="2" t="inlineStr">
        <is>
          <t>你如何努力提高自己？</t>
        </is>
      </c>
      <c r="F11" s="2" t="inlineStr">
        <is>
          <t>什么东西能够和你的其他力量标签组合起来？</t>
        </is>
      </c>
      <c r="G11" s="2" t="inlineStr">
        <is>
          <t>是什么让你每天都去同一个地方？</t>
        </is>
      </c>
      <c r="H11" s="2" t="inlineStr">
        <is>
          <t>你正在探索关于训练的哪些不寻常的新式应用？</t>
        </is>
      </c>
      <c r="I11" s="2" t="inlineStr">
        <is>
          <t>什么给了你困境将会结束的希望？</t>
        </is>
      </c>
      <c r="J11" s="2" t="inlineStr">
        <is>
          <t>你如何监控自己地盘上发生的事？</t>
        </is>
      </c>
      <c r="K11" s="2" t="inlineStr">
        <is>
          <t>你采用了什么生活方式遵循你的传统？</t>
        </is>
      </c>
      <c r="L11" s="20">
        <f>自定义主题!C13</f>
        <v/>
      </c>
      <c r="M11" s="4" t="n"/>
      <c r="N11" s="2" t="inlineStr">
        <is>
          <t>J</t>
        </is>
      </c>
      <c r="O11" s="2" t="inlineStr">
        <is>
          <t>你如何用你的能力来增强或削弱其他人？</t>
        </is>
      </c>
      <c r="P11" s="2" t="inlineStr">
        <is>
          <t>你在使用防御能力时会采用哪些策略？</t>
        </is>
      </c>
      <c r="Q11" s="2" t="inlineStr">
        <is>
          <t>把感知能力发挥到极限时，你能触及什么新的知识领域？</t>
        </is>
      </c>
      <c r="R11" s="2" t="inlineStr">
        <is>
          <t>你如何运用能力来保护自己，尤其是免受相似效果的影响？</t>
        </is>
      </c>
      <c r="S11" s="2" t="inlineStr">
        <is>
          <t>你的机动能力给你带来了什么特殊资源？</t>
        </is>
      </c>
      <c r="T11" s="2" t="inlineStr">
        <is>
          <t>你才刚刚解锁遗物的哪个方面/元素？</t>
        </is>
      </c>
      <c r="U11" s="2" t="inlineStr">
        <is>
          <t>你还开发了什么次要的诡秘能力？</t>
        </is>
      </c>
      <c r="V11" s="2" t="inlineStr">
        <is>
          <t>你如何控制召唤体？</t>
        </is>
      </c>
      <c r="W11" s="2" t="inlineStr">
        <is>
          <t>宿命实现时你会展现什么能力？</t>
        </is>
      </c>
      <c r="X11" s="2" t="inlineStr">
        <is>
          <t>当你离开灵地后，你可以保留什么物品、技能或品质？</t>
        </is>
      </c>
      <c r="Y11" s="2" t="inlineStr">
        <is>
          <t>你的使魔在神法中象征什么？</t>
        </is>
      </c>
      <c r="Z11" s="2" t="inlineStr">
        <is>
          <t>什么给了你困境将会结束的希望？</t>
        </is>
      </c>
      <c r="AA11" s="2" t="inlineStr">
        <is>
          <t>你在秘术研究中发现了什么秘密？</t>
        </is>
      </c>
      <c r="AB11" s="19">
        <f>自定义主题!L13</f>
        <v/>
      </c>
      <c r="AD11" s="2" t="inlineStr">
        <is>
          <t>J</t>
        </is>
      </c>
      <c r="AE11" s="2" t="inlineStr">
        <is>
          <t>你们可以使用哪种特殊装备、资源或力量？</t>
        </is>
      </c>
      <c r="AH11" s="19" t="inlineStr">
        <is>
          <t>你为什么信任你的盟友？</t>
        </is>
      </c>
      <c r="AI11" s="19" t="inlineStr">
        <is>
          <t>有什么特殊的方式可以进入你的基地？</t>
        </is>
      </c>
      <c r="AJ11" s="19" t="inlineStr">
        <is>
          <t>你的载具如何避免被发现？</t>
        </is>
      </c>
    </row>
    <row r="12">
      <c r="A12" s="2" t="inlineStr">
        <is>
          <t>弱点</t>
        </is>
      </c>
      <c r="B12" s="4" t="n"/>
      <c r="C12" s="4" t="n"/>
      <c r="D12" s="2" t="n"/>
      <c r="E12" s="2" t="n"/>
      <c r="F12" s="2" t="n"/>
      <c r="G12" s="2" t="n"/>
      <c r="H12" s="2" t="n"/>
      <c r="I12" s="2" t="n"/>
      <c r="J12" s="2" t="n"/>
      <c r="K12" s="2" t="n"/>
      <c r="L12" s="4" t="n"/>
      <c r="M12" s="4" t="n"/>
      <c r="N12" s="2" t="inlineStr">
        <is>
          <t>弱点</t>
        </is>
      </c>
      <c r="O12" s="2" t="n"/>
      <c r="P12" s="4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19" t="n"/>
      <c r="AD12" s="2" t="inlineStr">
        <is>
          <t>弱点</t>
        </is>
      </c>
      <c r="AE12" s="2" t="n"/>
      <c r="AH12" s="19" t="n"/>
      <c r="AI12" s="19" t="n"/>
      <c r="AJ12" s="19" t="n"/>
    </row>
    <row r="13">
      <c r="A13" s="2" t="inlineStr">
        <is>
          <t>A</t>
        </is>
      </c>
      <c r="B13" s="2" t="inlineStr">
        <is>
          <t>关键事件给你留下了什么样的情感上的创伤或负担？</t>
        </is>
      </c>
      <c r="C13" s="2" t="inlineStr">
        <is>
          <t>他们会为何被阻碍或者被伤害？</t>
        </is>
      </c>
      <c r="D13" s="2" t="inlineStr">
        <is>
          <t>追求使命带来的副作用/负担是什么？</t>
        </is>
      </c>
      <c r="E13" s="2" t="inlineStr">
        <is>
          <t>当你走极端时发生什么？</t>
        </is>
      </c>
      <c r="F13" s="2" t="inlineStr">
        <is>
          <t>你的所有物或财产有什么理论/实际缺陷？</t>
        </is>
      </c>
      <c r="G13" s="2" t="inlineStr">
        <is>
          <t>在一天结束的时候，你还剩下什么？</t>
        </is>
      </c>
      <c r="H13" s="2" t="inlineStr">
        <is>
          <t>你的技艺中最大的缺陷是什么？</t>
        </is>
      </c>
      <c r="I13" s="2" t="inlineStr">
        <is>
          <t>你的困境如何影响你的日常生活？</t>
        </is>
      </c>
      <c r="J13" s="2" t="inlineStr">
        <is>
          <t>哪种麻烦总是纠缠着你的地盘？</t>
        </is>
      </c>
      <c r="K13" s="2" t="inlineStr">
        <is>
          <t>遵循该传统的人都会遇到什么麻烦？</t>
        </is>
      </c>
      <c r="L13" s="4">
        <f>自定义主题!C15</f>
        <v/>
      </c>
      <c r="M13" s="4" t="n"/>
      <c r="N13" s="2" t="inlineStr">
        <is>
          <t>A</t>
        </is>
      </c>
      <c r="O13" s="2" t="inlineStr">
        <is>
          <t>你的适应能力依赖于什么？</t>
        </is>
      </c>
      <c r="P13" s="2" t="inlineStr">
        <is>
          <t>你的防御能力如何影响你的外观？</t>
        </is>
      </c>
      <c r="Q13" s="2" t="inlineStr">
        <is>
          <t>当你的感知淹没你的时候会发生什么？</t>
        </is>
      </c>
      <c r="R13" s="2" t="inlineStr">
        <is>
          <t>什么情况或条件会削弱或抑制你神法的外显？</t>
        </is>
      </c>
      <c r="S13" s="2" t="inlineStr">
        <is>
          <t>什么会阻碍你或减慢你的速度？</t>
        </is>
      </c>
      <c r="T13" s="2" t="inlineStr">
        <is>
          <t>你的遗物最麻烦的缺点是什么？</t>
        </is>
      </c>
      <c r="U13" s="2" t="inlineStr">
        <is>
          <t>什么能够令你暴露？</t>
        </is>
      </c>
      <c r="V13" s="2" t="inlineStr">
        <is>
          <t>谁或什么会阻碍你的召唤能力？</t>
        </is>
      </c>
      <c r="W13" s="2" t="inlineStr">
        <is>
          <t>宿命会导致怎样的毁灭和灾厄？</t>
        </is>
      </c>
      <c r="X13" s="2" t="inlineStr">
        <is>
          <t>你灵地的最大弱点是什么？</t>
        </is>
      </c>
      <c r="Y13" s="2" t="inlineStr">
        <is>
          <t>你的使魔会怎样妨碍你？</t>
        </is>
      </c>
      <c r="Z13" s="2" t="inlineStr">
        <is>
          <t>你的困境如何影响你的日常生活？</t>
        </is>
      </c>
      <c r="AA13" s="2" t="inlineStr">
        <is>
          <t>你的秘术修行吸引了什么危险力量或者你的克星前来？</t>
        </is>
      </c>
      <c r="AB13" s="19">
        <f>自定义主题!L15</f>
        <v/>
      </c>
      <c r="AD13" s="2" t="inlineStr">
        <is>
          <t>A</t>
        </is>
      </c>
      <c r="AE13" s="2" t="inlineStr">
        <is>
          <t>你们一起行事的方式存在什么缺陷或不足？</t>
        </is>
      </c>
      <c r="AH13" s="19" t="inlineStr">
        <is>
          <t>你的盟友会如何把你牵扯进麻烦？</t>
        </is>
      </c>
      <c r="AI13" s="19" t="inlineStr">
        <is>
          <t>何种状况或负面特质会使你的基地难以使用？</t>
        </is>
      </c>
      <c r="AJ13" s="19" t="inlineStr">
        <is>
          <t>是什么会让阻碍你的载具或者让载具慢下来？</t>
        </is>
      </c>
    </row>
    <row r="14">
      <c r="A14" s="2" t="inlineStr">
        <is>
          <t>B</t>
        </is>
      </c>
      <c r="B14" s="2" t="inlineStr">
        <is>
          <t>在关键事件之后，你必须承担什么样的责任或社会负担</t>
        </is>
      </c>
      <c r="C14" s="2" t="inlineStr">
        <is>
          <t>他们对你有什么负面影响？</t>
        </is>
      </c>
      <c r="D14" s="2" t="inlineStr">
        <is>
          <t>你的计划有哪些弱点/不确定因素？</t>
        </is>
      </c>
      <c r="E14" s="2" t="inlineStr">
        <is>
          <t>什么样的人/环境会让你的个性不那么有效？</t>
        </is>
      </c>
      <c r="F14" s="2" t="inlineStr">
        <is>
          <t>你展示了哪些与你的财产有关的坏习惯/特征？</t>
        </is>
      </c>
      <c r="G14" s="2" t="inlineStr">
        <is>
          <t>你的日常轨迹有哪些限制或负面影响？</t>
        </is>
      </c>
      <c r="H14" s="2" t="inlineStr">
        <is>
          <t>你的训练如何对你的身体或心理产生了不利影响？</t>
        </is>
      </c>
      <c r="I14" s="2" t="inlineStr">
        <is>
          <t>你的困境让你感觉如何？</t>
        </is>
      </c>
      <c r="J14" s="2" t="inlineStr">
        <is>
          <t>作为领袖，你养成了何种恶习或恶俗？</t>
        </is>
      </c>
      <c r="K14" s="2" t="inlineStr">
        <is>
          <t>你的传统让你承担了什么义务或受到了约束？</t>
        </is>
      </c>
      <c r="L14" s="4">
        <f>自定义主题!C16</f>
        <v/>
      </c>
      <c r="M14" s="4" t="n"/>
      <c r="N14" s="2" t="inlineStr">
        <is>
          <t>B</t>
        </is>
      </c>
      <c r="O14" s="2" t="inlineStr">
        <is>
          <t>什么效果是你的神法难以达成的？</t>
        </is>
      </c>
      <c r="P14" s="2" t="inlineStr">
        <is>
          <t>你的防御能力有什么缺陷？</t>
        </is>
      </c>
      <c r="Q14" s="2" t="inlineStr">
        <is>
          <t>什么可以阻碍或遮蔽你的感知？</t>
        </is>
      </c>
      <c r="R14" s="2" t="inlineStr">
        <is>
          <t>什么目标免疫或能够抵抗你的外显能力？</t>
        </is>
      </c>
      <c r="S14" s="2" t="inlineStr">
        <is>
          <t>当你运动地太快、移动了太远，会发生什么？</t>
        </is>
      </c>
      <c r="T14" s="2" t="inlineStr">
        <is>
          <t>什么可以干扰你的遗物的力量？</t>
        </is>
      </c>
      <c r="U14" s="2" t="inlineStr">
        <is>
          <t>当你暴露之后，会被他人发现什么？</t>
        </is>
      </c>
      <c r="V14" s="2" t="inlineStr">
        <is>
          <t>你的召唤体失控时如何行事？</t>
        </is>
      </c>
      <c r="W14" s="2" t="inlineStr">
        <is>
          <t>怎样的性格缺点引来你的宿命？</t>
        </is>
      </c>
      <c r="X14" s="2" t="inlineStr">
        <is>
          <t>你在灵地中待的太久会发生什么？</t>
        </is>
      </c>
      <c r="Y14" s="2" t="inlineStr">
        <is>
          <t>什么事物会阻止你的使魔帮助你，或是会分散它的注意力？</t>
        </is>
      </c>
      <c r="Z14" s="2" t="inlineStr">
        <is>
          <t>你的困境让你感觉如何？</t>
        </is>
      </c>
      <c r="AA14" s="2" t="inlineStr">
        <is>
          <t>什么会阻碍你使用能力？</t>
        </is>
      </c>
      <c r="AB14" s="19">
        <f>自定义主题!L16</f>
        <v/>
      </c>
      <c r="AD14" s="2" t="inlineStr">
        <is>
          <t>B</t>
        </is>
      </c>
      <c r="AE14" s="2" t="inlineStr">
        <is>
          <t>你们如何使他人陷入麻烦？</t>
        </is>
      </c>
      <c r="AH14" s="19" t="inlineStr">
        <is>
          <t>你的盟友的能力/方法/装备/态度有什么缺点？</t>
        </is>
      </c>
      <c r="AI14" s="19" t="inlineStr">
        <is>
          <t>你的基地在安全方面最明显的弱点是什么？</t>
        </is>
      </c>
      <c r="AJ14" s="19" t="inlineStr">
        <is>
          <t>你的载具的最明显弱点是什么？</t>
        </is>
      </c>
    </row>
    <row r="15">
      <c r="A15" s="2" t="inlineStr">
        <is>
          <t>C</t>
        </is>
      </c>
      <c r="B15" s="2" t="inlineStr">
        <is>
          <t>由于这个事件，谁/什么一直困扰着你？</t>
        </is>
      </c>
      <c r="C15" s="2" t="inlineStr">
        <is>
          <t>什么人/事物在与你争夺他们的注意/时间？</t>
        </is>
      </c>
      <c r="D15" s="2" t="inlineStr">
        <is>
          <t>哪种方法/心态会阻碍你的努力？</t>
        </is>
      </c>
      <c r="E15" s="2" t="inlineStr">
        <is>
          <t>你的外表、风格或体格的哪些方面会阻碍你？</t>
        </is>
      </c>
      <c r="F15" s="2" t="inlineStr">
        <is>
          <t>什么情况会降低你的财产的效用？</t>
        </is>
      </c>
      <c r="G15" s="2" t="inlineStr">
        <is>
          <t>什么人或事物可以干扰你的日常轨迹？</t>
        </is>
      </c>
      <c r="H15" s="2" t="inlineStr">
        <is>
          <t>由于你在这个领域的突出地位，谁在追赶着你？</t>
        </is>
      </c>
      <c r="I15" s="2" t="inlineStr">
        <is>
          <t>糟糕的一天是什么样的？</t>
        </is>
      </c>
      <c r="J15" s="2" t="inlineStr">
        <is>
          <t>谁或者什么会削弱你们？</t>
        </is>
      </c>
      <c r="K15" s="2" t="inlineStr">
        <is>
          <t>你质疑甚至反抗何种传统准则？</t>
        </is>
      </c>
      <c r="L15" s="4">
        <f>自定义主题!C17</f>
        <v/>
      </c>
      <c r="M15" s="4" t="n"/>
      <c r="N15" s="2" t="inlineStr">
        <is>
          <t>C</t>
        </is>
      </c>
      <c r="O15" s="2" t="inlineStr">
        <is>
          <t>是什么阻碍了你的神法或限制了它的可能性？</t>
        </is>
      </c>
      <c r="P15" s="2" t="inlineStr">
        <is>
          <t>什么攻击对你的防御特别有效？</t>
        </is>
      </c>
      <c r="Q15" s="2" t="inlineStr">
        <is>
          <t>什么是超出了你的感知范围？</t>
        </is>
      </c>
      <c r="R15" s="2" t="inlineStr">
        <is>
          <t>当你失去对神法外显的控制时会发生什么？</t>
        </is>
      </c>
      <c r="S15" s="2" t="inlineStr">
        <is>
          <t>当你被抓住时会发生什么？</t>
        </is>
      </c>
      <c r="T15" s="2" t="inlineStr">
        <is>
          <t>什么可以破坏或摧毁你的遗物？</t>
        </is>
      </c>
      <c r="U15" s="2" t="inlineStr">
        <is>
          <t>你在躲着谁/什么？</t>
        </is>
      </c>
      <c r="V15" s="2" t="inlineStr">
        <is>
          <t>谁或什么能够约束、驱逐、控制或摧毁你的召唤体？</t>
        </is>
      </c>
      <c r="W15" s="2" t="inlineStr">
        <is>
          <t>你迫在眉睫的宿命如何负面地影响了你的生活？</t>
        </is>
      </c>
      <c r="X15" s="2" t="inlineStr">
        <is>
          <t>谁想要进入，摧毁或逃离你的灵地？</t>
        </is>
      </c>
      <c r="Y15" s="2" t="inlineStr">
        <is>
          <t>你的使魔有什么自然或超自然的弱点？</t>
        </is>
      </c>
      <c r="Z15" s="2" t="inlineStr">
        <is>
          <t>糟糕的一天是什么样的？</t>
        </is>
      </c>
      <c r="AA15" s="2" t="inlineStr">
        <is>
          <t>你的秘术修行让你陷入了什么麻烦？</t>
        </is>
      </c>
      <c r="AB15" s="19">
        <f>自定义主题!L17</f>
        <v/>
      </c>
      <c r="AD15" s="2" t="inlineStr">
        <is>
          <t>C</t>
        </is>
      </c>
      <c r="AE15" s="2" t="inlineStr">
        <is>
          <t>你们都惧怕什么人或者事物？</t>
        </is>
      </c>
      <c r="AH15" s="19" t="inlineStr">
        <is>
          <t>你的盟友的哪些特质最令你困扰？</t>
        </is>
      </c>
      <c r="AI15" s="19" t="inlineStr">
        <is>
          <t>当你在基地里待了太长时间会发生什么？</t>
        </is>
      </c>
      <c r="AJ15" s="19" t="inlineStr">
        <is>
          <t>什么状况会让你的载具反应迟钝？</t>
        </is>
      </c>
    </row>
    <row r="16">
      <c r="A16" s="2" t="inlineStr">
        <is>
          <t>D</t>
        </is>
      </c>
      <c r="B16" s="2" t="inlineStr">
        <is>
          <t>由于这个事件，你的身体或精神上有什么受损了？</t>
        </is>
      </c>
      <c r="C16" s="2" t="inlineStr">
        <is>
          <t>在什么情况下他们会无法帮助你？</t>
        </is>
      </c>
      <c r="D16" s="2" t="inlineStr">
        <is>
          <t>你为什么到现在还没有成功？</t>
        </is>
      </c>
      <c r="E16" s="2" t="inlineStr">
        <is>
          <t>当你被逼到绝境会发生什么？</t>
        </is>
      </c>
      <c r="F16" s="2" t="inlineStr">
        <is>
          <t>什么人或事物能阻止你使用你的财产？</t>
        </is>
      </c>
      <c r="G16" s="2" t="inlineStr">
        <is>
          <t>当你偏离日常轨迹的时候会发生什么？</t>
        </is>
      </c>
      <c r="H16" s="2" t="inlineStr">
        <is>
          <t>列举一项针对力量标签描述的特定行动或方法的缺陷。</t>
        </is>
      </c>
      <c r="I16" s="2" t="inlineStr">
        <is>
          <t>什么会让你的困境更加恶化？</t>
        </is>
      </c>
      <c r="J16" s="2" t="inlineStr">
        <is>
          <t>谁，什么或那里在你地盘之外？</t>
        </is>
      </c>
      <c r="K16" s="2" t="inlineStr">
        <is>
          <t>遵循传统为你带来了什么情感创伤或者包袱？</t>
        </is>
      </c>
      <c r="L16" s="4">
        <f>自定义主题!C18</f>
        <v/>
      </c>
      <c r="M16" s="4" t="n"/>
      <c r="N16" s="2" t="inlineStr">
        <is>
          <t>D</t>
        </is>
      </c>
      <c r="O16" s="2" t="inlineStr">
        <is>
          <t>由于你的适应能力，你养成了什么坏习惯？</t>
        </is>
      </c>
      <c r="P16" s="2" t="inlineStr">
        <is>
          <t>从你的防御中衍生出来的什么个性特征让你陷入麻烦？</t>
        </is>
      </c>
      <c r="Q16" s="2" t="inlineStr">
        <is>
          <t>要使用感知能力什么是必不可缺的？</t>
        </is>
      </c>
      <c r="R16" s="2" t="inlineStr">
        <is>
          <t>你的神法给世界带来了什么出乎意料的影响？</t>
        </is>
      </c>
      <c r="S16" s="2" t="inlineStr">
        <is>
          <t>你的行动给自身、他人或环境留下了什么残余痕迹？</t>
        </is>
      </c>
      <c r="T16" s="2" t="inlineStr">
        <is>
          <t>你身上有哪一点因为遗物而变得更糟了？</t>
        </is>
      </c>
      <c r="U16" s="2" t="inlineStr">
        <is>
          <t>在阴影下或面具后面，你的内心产生了什么不好的想法？</t>
        </is>
      </c>
      <c r="V16" s="2" t="inlineStr">
        <is>
          <t>召唤体最大的缺点是什么？</t>
        </is>
      </c>
      <c r="W16" s="2" t="inlineStr">
        <is>
          <t>你的宿命会引来怎样的邪恶？</t>
        </is>
      </c>
      <c r="X16" s="2" t="inlineStr">
        <is>
          <t>什么会阻碍你到访或运用灵地？</t>
        </is>
      </c>
      <c r="Y16" s="2" t="inlineStr">
        <is>
          <t>你从使魔身上学到了什么负面的习惯或表现？</t>
        </is>
      </c>
      <c r="Z16" s="2" t="inlineStr">
        <is>
          <t>什么会让你的困境更加恶化？</t>
        </is>
      </c>
      <c r="AA16" s="2" t="inlineStr">
        <is>
          <t>你限制你能力发挥的主要因素是什么？</t>
        </is>
      </c>
      <c r="AB16" s="19">
        <f>自定义主题!L18</f>
        <v/>
      </c>
      <c r="AD16" s="2" t="inlineStr">
        <is>
          <t>D</t>
        </is>
      </c>
      <c r="AE16" s="2" t="inlineStr">
        <is>
          <t>你们难以应付怎样的处境或位置？</t>
        </is>
      </c>
      <c r="AH16" s="19" t="inlineStr">
        <is>
          <t>什么人或事物最有可能伤害你的盟友？</t>
        </is>
      </c>
      <c r="AI16" s="19" t="inlineStr">
        <is>
          <t>你的基地的神法能力会带来什么副作用？</t>
        </is>
      </c>
      <c r="AJ16" s="19" t="inlineStr">
        <is>
          <t>你的载具的神法或者背景故事会怎样给你惹上麻烦？</t>
        </is>
      </c>
    </row>
    <row r="21">
      <c r="A21" s="0" t="inlineStr">
        <is>
          <t>另选一个宽泛力量标签</t>
        </is>
      </c>
    </row>
    <row r="22">
      <c r="A22" s="0" t="inlineStr">
        <is>
          <t>获得一个附加主题：盟友</t>
        </is>
      </c>
    </row>
    <row r="23">
      <c r="A23" s="0" t="inlineStr">
        <is>
          <t>获得一个附加主题：行动基地</t>
        </is>
      </c>
    </row>
    <row r="24">
      <c r="A24" s="0" t="inlineStr">
        <is>
          <t>获得一个附加主题：载具</t>
        </is>
      </c>
    </row>
    <row r="25">
      <c r="A25" s="0" t="inlineStr">
        <is>
          <t>摆脱报应</t>
        </is>
      </c>
    </row>
    <row r="26">
      <c r="A26" s="0" t="inlineStr">
        <is>
          <t>经历蜕变</t>
        </is>
      </c>
    </row>
    <row r="27">
      <c r="A27" s="0" t="inlineStr">
        <is>
          <t>离开迷雾之城</t>
        </is>
      </c>
    </row>
    <row r="28">
      <c r="A28" s="0" t="inlineStr">
        <is>
          <t>一个核心动作永久成为非同凡响！的</t>
        </is>
      </c>
    </row>
    <row r="29">
      <c r="A29" s="0" t="inlineStr">
        <is>
          <t>一个核心动作永久成为非同凡响！的</t>
        </is>
      </c>
    </row>
    <row r="30">
      <c r="A30" s="0" t="inlineStr">
        <is>
          <t>一个核心动作永久成为非同凡响！的</t>
        </is>
      </c>
    </row>
    <row r="31">
      <c r="A31" s="0" t="inlineStr">
        <is>
          <t>看穿迷雾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2023-01-21T06:43:00Z</dcterms:created>
  <dcterms:modified xsi:type="dcterms:W3CDTF">2026-10-23T07:11:50Z</dcterms:modified>
  <cp:lastModifiedBy>Mark 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AE48457D2B7046A8B96C25F3CFEACB30</vt:lpwstr>
  </property>
  <property name="KSOProductBuildVer" fmtid="{D5CDD505-2E9C-101B-9397-08002B2CF9AE}" pid="3">
    <vt:lpwstr>2052-11.1.0.13703</vt:lpwstr>
  </property>
</Properties>
</file>